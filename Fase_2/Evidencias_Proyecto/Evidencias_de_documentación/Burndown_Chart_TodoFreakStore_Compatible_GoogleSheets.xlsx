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24319422954f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rint 1 - Tabla" sheetId="1" r:id="R715d5fc885a646bf"/>
    <x:sheet xmlns:r="http://schemas.openxmlformats.org/officeDocument/2006/relationships" name="Sprint 1 - Gráfico" sheetId="2" r:id="Rba81e1f531db47e4"/>
    <x:sheet xmlns:r="http://schemas.openxmlformats.org/officeDocument/2006/relationships" name="Sprint 2 - Tabla" sheetId="3" r:id="R7998812bb4c54aad"/>
    <x:sheet xmlns:r="http://schemas.openxmlformats.org/officeDocument/2006/relationships" name="Sprint 2 - Gráfico" sheetId="4" r:id="R5a0f389687554d81"/>
    <x:sheet xmlns:r="http://schemas.openxmlformats.org/officeDocument/2006/relationships" name="Guía de fórmulas" sheetId="5" r:id="Reef77c7dbf0b40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.0"/>
  </x:numFmts>
  <x:fonts count="7">
    <x:font>
      <x:sz val="11"/>
      <x:name val="Carlito"/>
    </x:font>
    <x:font>
      <x:b/>
      <x:sz val="16"/>
      <x:name val="Arial"/>
    </x:font>
    <x:font>
      <x:i/>
      <x:sz val="10"/>
      <x:color rgb="FF404040"/>
      <x:name val="Arial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name val="Arial"/>
    </x:font>
    <x:font>
      <x:b/>
      <x:sz val="1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F3F6F9"/>
      </x:patternFill>
    </x:fill>
  </x:fills>
  <x:borders count="13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 style="thin">
        <x:color rgb="FFE1E6EB"/>
      </x:right>
      <x:top/>
      <x:bottom style="thin">
        <x:color rgb="FFE1E6EB"/>
      </x:bottom>
      <x:diagonal/>
    </x:border>
    <x:border>
      <x:left style="thin">
        <x:color rgb="FFE1E6EB"/>
      </x:left>
      <x:right style="thin">
        <x:color rgb="FFE1E6EB"/>
      </x:right>
      <x:top/>
      <x:bottom style="thin">
        <x:color rgb="FFE1E6EB"/>
      </x:bottom>
      <x:diagonal/>
    </x:border>
    <x:border>
      <x:left style="thin">
        <x:color rgb="FFE1E6EB"/>
      </x:left>
      <x:right/>
      <x:top/>
      <x:bottom style="thin">
        <x:color rgb="FFE1E6EB"/>
      </x:bottom>
      <x:diagonal/>
    </x:border>
    <x:border>
      <x:left/>
      <x:right style="thin">
        <x:color rgb="FFE1E6EB"/>
      </x:right>
      <x:top style="thin">
        <x:color rgb="FFE1E6EB"/>
      </x:top>
      <x:bottom style="thin">
        <x:color rgb="FFE1E6EB"/>
      </x:bottom>
      <x:diagonal/>
    </x:border>
    <x:border>
      <x:left style="thin">
        <x:color rgb="FFE1E6EB"/>
      </x:left>
      <x:right style="thin">
        <x:color rgb="FFE1E6EB"/>
      </x:right>
      <x:top style="thin">
        <x:color rgb="FFE1E6EB"/>
      </x:top>
      <x:bottom style="thin">
        <x:color rgb="FFE1E6EB"/>
      </x:bottom>
      <x:diagonal/>
    </x:border>
    <x:border>
      <x:left style="thin">
        <x:color rgb="FFE1E6EB"/>
      </x:left>
      <x:right/>
      <x:top style="thin">
        <x:color rgb="FFE1E6EB"/>
      </x:top>
      <x:bottom style="thin">
        <x:color rgb="FFE1E6EB"/>
      </x:bottom>
      <x:diagonal/>
    </x:border>
    <x:border>
      <x:left/>
      <x:right style="thin">
        <x:color rgb="FFE1E6EB"/>
      </x:right>
      <x:top style="thin">
        <x:color rgb="FFE1E6EB"/>
      </x:top>
      <x:bottom/>
      <x:diagonal/>
    </x:border>
    <x:border>
      <x:left style="thin">
        <x:color rgb="FFE1E6EB"/>
      </x:left>
      <x:right style="thin">
        <x:color rgb="FFE1E6EB"/>
      </x:right>
      <x:top style="thin">
        <x:color rgb="FFE1E6EB"/>
      </x:top>
      <x:bottom/>
      <x:diagonal/>
    </x:border>
    <x:border>
      <x:left style="thin">
        <x:color rgb="FFE1E6EB"/>
      </x:left>
      <x:right/>
      <x:top style="thin">
        <x:color rgb="FFE1E6EB"/>
      </x:top>
      <x:bottom/>
      <x:diagonal/>
    </x:border>
  </x:borders>
  <x:cellStyleXfs count="1">
    <x:xf numFmtId="0" fontId="0" fillId="0" borderId="0"/>
  </x:cellStyleXfs>
  <x:cellXfs count="7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0" fontId="4" fillId="0" borderId="10" xfId="0" applyNumberFormat="1" applyFont="1" applyFill="1" applyBorder="1" applyAlignment="1">
      <x:alignment vertical="center"/>
    </x:xf>
    <x:xf numFmtId="0" fontId="4" fillId="0" borderId="11" xfId="0" applyNumberFormat="1" applyFont="1" applyFill="1" applyBorder="1" applyAlignment="1">
      <x:alignment vertical="center"/>
    </x:xf>
    <x:xf numFmtId="0" fontId="4" fillId="0" borderId="12" xfId="0" applyNumberFormat="1" applyFont="1" applyFill="1" applyBorder="1" applyAlignment="1">
      <x:alignment vertical="center"/>
    </x:xf>
    <x:xf numFmtId="200" fontId="4" fillId="0" borderId="7" xfId="0" applyNumberFormat="1" applyFont="1" applyFill="1" applyBorder="1" applyAlignment="1">
      <x:alignment vertical="center"/>
    </x:xf>
    <x:xf numFmtId="200" fontId="4" fillId="0" borderId="10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1" fontId="4" fillId="0" borderId="8" xfId="0" applyNumberFormat="1" applyFont="1" applyFill="1" applyBorder="1" applyAlignment="1">
      <x:alignment vertical="center"/>
    </x:xf>
    <x:xf numFmtId="201" fontId="4" fillId="0" borderId="11" xfId="0" applyNumberFormat="1" applyFont="1" applyFill="1" applyBorder="1" applyAlignment="1">
      <x:alignment vertical="center"/>
    </x:xf>
    <x:xf numFmtId="201" fontId="4" fillId="3" borderId="8" xfId="0" applyNumberFormat="1" applyFont="1" applyFill="1" applyBorder="1" applyAlignment="1">
      <x:alignment vertical="center"/>
    </x:xf>
    <x:xf numFmtId="201" fontId="4" fillId="3" borderId="11" xfId="0" applyNumberFormat="1" applyFont="1" applyFill="1" applyBorder="1" applyAlignment="1">
      <x:alignment vertical="center"/>
    </x:xf>
    <x:xf numFmtId="201" fontId="4" fillId="4" borderId="5" xfId="0" applyNumberFormat="1" applyFont="1" applyFill="1" applyBorder="1" applyAlignment="1">
      <x:alignment vertical="center"/>
    </x:xf>
    <x:xf numFmtId="201" fontId="4" fillId="4" borderId="8" xfId="0" applyNumberFormat="1" applyFont="1" applyFill="1" applyBorder="1" applyAlignment="1">
      <x:alignment vertical="center"/>
    </x:xf>
    <x:xf numFmtId="201" fontId="4" fillId="4" borderId="11" xfId="0" applyNumberFormat="1" applyFont="1" applyFill="1" applyBorder="1" applyAlignment="1">
      <x:alignment vertical="center"/>
    </x:xf>
    <x:xf numFmtId="201" fontId="4" fillId="5" borderId="5" xfId="0" applyNumberFormat="1" applyFont="1" applyFill="1" applyBorder="1" applyAlignment="1">
      <x:alignment vertical="center"/>
    </x:xf>
    <x:xf numFmtId="201" fontId="4" fillId="5" borderId="8" xfId="0" applyNumberFormat="1" applyFont="1" applyFill="1" applyBorder="1" applyAlignment="1">
      <x:alignment vertical="center"/>
    </x:xf>
    <x:xf numFmtId="201" fontId="4" fillId="5" borderId="11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0" borderId="12" xfId="0" applyNumberFormat="1" applyFont="1" applyFill="1" applyBorder="1" applyAlignment="1">
      <x:alignment vertical="center" wrapText="1"/>
    </x:xf>
    <x:xf numFmtId="200" fontId="4" fillId="0" borderId="6" xfId="0" applyNumberFormat="1" applyFont="1" applyFill="1" applyBorder="1" applyAlignment="1">
      <x:alignment vertical="center"/>
    </x:xf>
    <x:xf numFmtId="200" fontId="4" fillId="0" borderId="9" xfId="0" applyNumberFormat="1" applyFont="1" applyFill="1" applyBorder="1" applyAlignment="1">
      <x:alignment vertical="center"/>
    </x:xf>
    <x:xf numFmtId="0" fontId="4" fillId="3" borderId="9" xfId="0" applyNumberFormat="1" applyFont="1" applyFill="1" applyBorder="1" applyAlignment="1">
      <x:alignment vertical="center"/>
    </x:xf>
    <x:xf numFmtId="201" fontId="4" fillId="3" borderId="9" xfId="0" applyNumberFormat="1" applyFont="1" applyFill="1" applyBorder="1" applyAlignment="1">
      <x:alignment vertical="center"/>
    </x:xf>
    <x:xf numFmtId="201" fontId="4" fillId="0" borderId="12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center"/>
    </x:xf>
    <x:xf numFmtId="0" fontId="4" fillId="5" borderId="8" xfId="0" applyNumberFormat="1" applyFont="1" applyFill="1" applyBorder="1" applyAlignment="1">
      <x:alignment vertical="center"/>
    </x:xf>
    <x:xf numFmtId="0" fontId="4" fillId="5" borderId="1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5" borderId="8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  <x:xf numFmtId="0" fontId="4" fillId="0" borderId="11" xfId="0" applyNumberFormat="1" applyFont="1" applyFill="1" applyBorder="1" applyAlignment="1">
      <x:alignment vertical="center" wrapText="1"/>
    </x:xf>
    <x:xf numFmtId="0" fontId="4" fillId="5" borderId="1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8e379dea7a498d" /><Relationship Type="http://schemas.openxmlformats.org/officeDocument/2006/relationships/theme" Target="/xl/theme/theme1.xml" Id="Rfa52c455840d4c0e" /><Relationship Type="http://schemas.openxmlformats.org/officeDocument/2006/relationships/sharedStrings" Target="/xl/sharedStrings.xml" Id="Rbdce2a8992634344" /><Relationship Type="http://schemas.openxmlformats.org/officeDocument/2006/relationships/worksheet" Target="/xl/worksheets/sheet1.xml" Id="R715d5fc885a646bf" /><Relationship Type="http://schemas.openxmlformats.org/officeDocument/2006/relationships/worksheet" Target="/xl/worksheets/sheet2.xml" Id="Rba81e1f531db47e4" /><Relationship Type="http://schemas.openxmlformats.org/officeDocument/2006/relationships/worksheet" Target="/xl/worksheets/sheet3.xml" Id="R7998812bb4c54aad" /><Relationship Type="http://schemas.openxmlformats.org/officeDocument/2006/relationships/worksheet" Target="/xl/worksheets/sheet4.xml" Id="R5a0f389687554d81" /><Relationship Type="http://schemas.openxmlformats.org/officeDocument/2006/relationships/worksheet" Target="/xl/worksheets/sheet5.xml" Id="Reef77c7dbf0b40e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f8e89f1a97c438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e8dea9796aa04e5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Sprint 1 — horas restantes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Ideal restante</c:v>
          </c:tx>
          <c:spPr>
            <a:ln xmlns:a="http://schemas.openxmlformats.org/drawingml/2006/main" w="19050">
              <a:solidFill>
                <a:srgbClr val="8C8C8C"/>
              </a:solidFill>
              <a:prstDash val="dash"/>
            </a:ln>
          </c:spPr>
          <c:marker>
            <c:symbol val="none"/>
          </c:marker>
          <c:cat>
            <c:strRef>
              <c:f>'Sprint 1 - Gráfico'!$X$6:$X$21</c:f>
              <c:strCache>
                <c:ptCount val="0"/>
              </c:strCache>
            </c:strRef>
          </c:cat>
          <c:val>
            <c:numRef>
              <c:f>'Sprint 1 - Gráfico'!$Y$6:$Y$21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Real restante</c:v>
          </c:tx>
          <c:spPr>
            <a:ln xmlns:a="http://schemas.openxmlformats.org/drawingml/2006/main" w="28575">
              <a:solidFill>
                <a:srgbClr val="2F75B5"/>
              </a:solidFill>
              <a:prstDash val="solid"/>
            </a:ln>
          </c:spPr>
          <c:marker>
            <c:symbol val="none"/>
          </c:marker>
          <c:cat>
            <c:strRef>
              <c:f>'Sprint 1 - Gráfico'!$X$6:$X$21</c:f>
              <c:strCache>
                <c:ptCount val="0"/>
              </c:strCache>
            </c:strRef>
          </c:cat>
          <c:val>
            <c:numRef>
              <c:f>'Sprint 1 - Gráfico'!$Z$6:$Z$21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Fecha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low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Horas-equipo restantes</a:t>
                </a:r>
              </a:p>
            </c:rich>
          </c:tx>
          <c:overlay val="0"/>
        </c:title>
        <c:numFmt formatCode="General"/>
        <c:majorTickMark val="none"/>
        <c:minorTickMark val="none"/>
        <c:crossAx val="48650112"/>
        <c:crossBetween val="between"/>
      </c:valAx>
    </c:plotArea>
    <c:legend>
      <c:legendPos val="t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Sprint 2 — horas restantes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Ideal restante</c:v>
          </c:tx>
          <c:spPr>
            <a:ln xmlns:a="http://schemas.openxmlformats.org/drawingml/2006/main" w="19050">
              <a:solidFill>
                <a:srgbClr val="8C8C8C"/>
              </a:solidFill>
              <a:prstDash val="dash"/>
            </a:ln>
          </c:spPr>
          <c:marker>
            <c:symbol val="none"/>
          </c:marker>
          <c:cat>
            <c:strRef>
              <c:f>'Sprint 2 - Gráfico'!$X$6:$X$20</c:f>
              <c:strCache>
                <c:ptCount val="0"/>
              </c:strCache>
            </c:strRef>
          </c:cat>
          <c:val>
            <c:numRef>
              <c:f>'Sprint 2 - Gráfico'!$Y$6:$Y$20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Real restante</c:v>
          </c:tx>
          <c:spPr>
            <a:ln xmlns:a="http://schemas.openxmlformats.org/drawingml/2006/main" w="28575">
              <a:solidFill>
                <a:srgbClr val="2F75B5"/>
              </a:solidFill>
              <a:prstDash val="solid"/>
            </a:ln>
          </c:spPr>
          <c:marker>
            <c:symbol val="none"/>
          </c:marker>
          <c:cat>
            <c:strRef>
              <c:f>'Sprint 2 - Gráfico'!$X$6:$X$20</c:f>
              <c:strCache>
                <c:ptCount val="0"/>
              </c:strCache>
            </c:strRef>
          </c:cat>
          <c:val>
            <c:numRef>
              <c:f>'Sprint 2 - Gráfico'!$Z$6:$Z$20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Fecha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low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Horas-equipo restantes</a:t>
                </a:r>
              </a:p>
            </c:rich>
          </c:tx>
          <c:overlay val="0"/>
        </c:title>
        <c:numFmt formatCode="General"/>
        <c:majorTickMark val="none"/>
        <c:minorTickMark val="none"/>
        <c:crossAx val="48650112"/>
        <c:crossBetween val="between"/>
      </c:valAx>
    </c:plotArea>
    <c:legend>
      <c:legendPos val="t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4</xdr:row>
      <xdr:rowOff>0</xdr:rowOff>
    </xdr:from>
    <xdr:ext cx="12573000" cy="4953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f8e89f1a97c438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4</xdr:row>
      <xdr:rowOff>0</xdr:rowOff>
    </xdr:from>
    <xdr:ext cx="12573000" cy="4953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8dea9796aa04e57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c85b7d31963541f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4cf2a7f1da64447a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1" max="11" width="22" hidden="0" customWidth="1"/>
    <x:col min="12" max="12" width="17" hidden="0" customWidth="1"/>
    <x:col min="1" max="1" width="13" hidden="0" customWidth="1"/>
    <x:col min="2" max="2" width="13" hidden="0" customWidth="1"/>
    <x:col min="3" max="3" width="12" hidden="0" customWidth="1"/>
    <x:col min="4" max="4" width="15" hidden="0" customWidth="1"/>
    <x:col min="5" max="5" width="18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40" hidden="0" customWidth="1"/>
  </x:cols>
  <x:sheetData>
    <x:row r="2" ht="28" customHeight="1">
      <x:c r="A2" s="1" t="str">
        <x:v>Sprint 1 — Tienda Pública Online</x:v>
      </x:c>
    </x:row>
    <x:row r="3" ht="21" customHeight="1">
      <x:c r="A3" s="2" t="str">
        <x:v>Finalizado. Seguimiento en horas-equipo; 3 integrantes × 3 horas por jornada hábil.</x:v>
      </x:c>
    </x:row>
    <x:row r="5" ht="34" customHeight="1">
      <x:c r="A5" s="14" t="str">
        <x:v>Fecha</x:v>
      </x:c>
      <x:c r="B5" s="15" t="str">
        <x:v>Día</x:v>
      </x:c>
      <x:c r="C5" s="15" t="str">
        <x:v>Plan diario</x:v>
      </x:c>
      <x:c r="D5" s="15" t="str">
        <x:v>Trabajo agregado</x:v>
      </x:c>
      <x:c r="E5" s="15" t="str">
        <x:v>Trabajo real completado</x:v>
      </x:c>
      <x:c r="F5" s="15" t="str">
        <x:v>Plan acumulado</x:v>
      </x:c>
      <x:c r="G5" s="15" t="str">
        <x:v>Real acumulado</x:v>
      </x:c>
      <x:c r="H5" s="15" t="str">
        <x:v>Ideal restante</x:v>
      </x:c>
      <x:c r="I5" s="15" t="str">
        <x:v>Real restante</x:v>
      </x:c>
      <x:c r="J5" s="16" t="str">
        <x:v>Observación</x:v>
      </x:c>
      <x:c r="K5" s="14" t="str">
        <x:v>Parámetro</x:v>
      </x:c>
      <x:c r="L5" s="16" t="str">
        <x:v>Valor</x:v>
      </x:c>
      <x:c r="V5" t="str">
        <x:v>Fecha</x:v>
      </x:c>
      <x:c r="W5" t="str">
        <x:v>Ideal restante</x:v>
      </x:c>
      <x:c r="X5" t="str">
        <x:v>Real restante</x:v>
      </x:c>
    </x:row>
    <x:row r="6">
      <x:c r="A6" s="27" t="str">
        <x:v>Inicio</x:v>
      </x:c>
      <x:c r="B6" s="28" t="str"/>
      <x:c r="C6" s="38" t="n">
        <x:v>0</x:v>
      </x:c>
      <x:c r="D6" s="38" t="n">
        <x:v>0</x:v>
      </x:c>
      <x:c r="E6" s="38" t="n">
        <x:v>0</x:v>
      </x:c>
      <x:c r="F6" s="43" t="n">
        <x:v>0</x:v>
      </x:c>
      <x:c r="G6" s="43" t="n">
        <x:v>0</x:v>
      </x:c>
      <x:c r="H6" s="46" t="n">
        <x:f>$L$12</x:f>
        <x:v>99</x:v>
      </x:c>
      <x:c r="I6" s="46" t="n">
        <x:f>$L$12</x:f>
        <x:v>99</x:v>
      </x:c>
      <x:c r="J6" s="49" t="str">
        <x:v>Línea base del sprint.</x:v>
      </x:c>
      <x:c r="K6" s="27" t="str">
        <x:v>Inicio</x:v>
      </x:c>
      <x:c r="L6" s="52" t="d">
        <x:v>2026-08-31T12:00:00.000Z</x:v>
      </x:c>
      <x:c r="V6" t="str">
        <x:v>Inicio</x:v>
      </x:c>
      <x:c r="W6" t="n">
        <x:f>H6</x:f>
        <x:v>99</x:v>
      </x:c>
      <x:c r="X6" t="n">
        <x:f>I6</x:f>
        <x:v>99</x:v>
      </x:c>
    </x:row>
    <x:row r="7">
      <x:c r="A7" s="36" t="d">
        <x:v>2026-08-31T12:00:00.000Z</x:v>
      </x:c>
      <x:c r="B7" s="31" t="str">
        <x:v>lunes</x:v>
      </x:c>
      <x:c r="C7" s="39" t="n">
        <x:f>IF(WEEKDAY(A7,2)&lt;=5,$L$10,0)</x:f>
        <x:v>9</x:v>
      </x:c>
      <x:c r="D7" s="41" t="n">
        <x:v>0</x:v>
      </x:c>
      <x:c r="E7" s="41" t="n">
        <x:v>8</x:v>
      </x:c>
      <x:c r="F7" s="44" t="n">
        <x:f>F6+C7</x:f>
        <x:v>9</x:v>
      </x:c>
      <x:c r="G7" s="44" t="n">
        <x:f>IF(ISBLANK(E7),"",G6+E7)</x:f>
        <x:v>8</x:v>
      </x:c>
      <x:c r="H7" s="47" t="n">
        <x:f>MAX(0,$L$12-F7)</x:f>
        <x:v>90</x:v>
      </x:c>
      <x:c r="I7" s="47" t="n">
        <x:f>IF(ISBLANK(E7),"",MAX(0,I6+D7-E7))</x:f>
        <x:v>91</x:v>
      </x:c>
      <x:c r="J7" s="50" t="str">
        <x:v>Inicio del desarrollo del sprint.</x:v>
      </x:c>
      <x:c r="K7" s="30" t="str">
        <x:v>Fin</x:v>
      </x:c>
      <x:c r="L7" s="53" t="d">
        <x:v>2026-09-14T12:00:00.000Z</x:v>
      </x:c>
      <x:c r="V7" t="str">
        <x:v>31/08</x:v>
      </x:c>
      <x:c r="W7" t="n">
        <x:f>H7</x:f>
        <x:v>90</x:v>
      </x:c>
      <x:c r="X7" t="n">
        <x:f>I7</x:f>
        <x:v>91</x:v>
      </x:c>
    </x:row>
    <x:row r="8">
      <x:c r="A8" s="36" t="d">
        <x:v>2026-09-01T12:00:00.000Z</x:v>
      </x:c>
      <x:c r="B8" s="31" t="str">
        <x:v>martes</x:v>
      </x:c>
      <x:c r="C8" s="39" t="n">
        <x:f>IF(WEEKDAY(A8,2)&lt;=5,$L$10,0)</x:f>
        <x:v>9</x:v>
      </x:c>
      <x:c r="D8" s="41" t="n">
        <x:v>0</x:v>
      </x:c>
      <x:c r="E8" s="41" t="n">
        <x:v>10</x:v>
      </x:c>
      <x:c r="F8" s="44" t="n">
        <x:f>F7+C8</x:f>
        <x:v>18</x:v>
      </x:c>
      <x:c r="G8" s="44" t="n">
        <x:f>IF(ISBLANK(E8),"",G7+E8)</x:f>
        <x:v>18</x:v>
      </x:c>
      <x:c r="H8" s="47" t="n">
        <x:f>MAX(0,$L$12-F8)</x:f>
        <x:v>81</x:v>
      </x:c>
      <x:c r="I8" s="47" t="n">
        <x:f>IF(ISBLANK(E8),"",MAX(0,I7+D8-E8))</x:f>
        <x:v>81</x:v>
      </x:c>
      <x:c r="J8" s="50" t="str">
        <x:v>Avance superior al plan diario.</x:v>
      </x:c>
      <x:c r="K8" s="30" t="str">
        <x:v>Integrantes</x:v>
      </x:c>
      <x:c r="L8" s="55" t="n">
        <x:v>3</x:v>
      </x:c>
      <x:c r="V8" t="str">
        <x:v>01/09</x:v>
      </x:c>
      <x:c r="W8" t="n">
        <x:f>H8</x:f>
        <x:v>81</x:v>
      </x:c>
      <x:c r="X8" t="n">
        <x:f>I8</x:f>
        <x:v>81</x:v>
      </x:c>
    </x:row>
    <x:row r="9">
      <x:c r="A9" s="36" t="d">
        <x:v>2026-09-02T12:00:00.000Z</x:v>
      </x:c>
      <x:c r="B9" s="31" t="str">
        <x:v>miércoles</x:v>
      </x:c>
      <x:c r="C9" s="39" t="n">
        <x:f>IF(WEEKDAY(A9,2)&lt;=5,$L$10,0)</x:f>
        <x:v>9</x:v>
      </x:c>
      <x:c r="D9" s="41" t="n">
        <x:v>12</x:v>
      </x:c>
      <x:c r="E9" s="41" t="n">
        <x:v>9</x:v>
      </x:c>
      <x:c r="F9" s="44" t="n">
        <x:f>F8+C9</x:f>
        <x:v>27</x:v>
      </x:c>
      <x:c r="G9" s="44" t="n">
        <x:f>IF(ISBLANK(E9),"",G8+E9)</x:f>
        <x:v>27</x:v>
      </x:c>
      <x:c r="H9" s="47" t="n">
        <x:f>MAX(0,$L$12-F9)</x:f>
        <x:v>72</x:v>
      </x:c>
      <x:c r="I9" s="47" t="n">
        <x:f>IF(ISBLANK(E9),"",MAX(0,I8+D9-E9))</x:f>
        <x:v>84</x:v>
      </x:c>
      <x:c r="J9" s="50" t="str">
        <x:v>Reestimación: se agregan 12 horas de trabajo.</x:v>
      </x:c>
      <x:c r="K9" s="30" t="str">
        <x:v>Horas por persona</x:v>
      </x:c>
      <x:c r="L9" s="55" t="n">
        <x:v>3</x:v>
      </x:c>
      <x:c r="V9" t="str">
        <x:v>02/09</x:v>
      </x:c>
      <x:c r="W9" t="n">
        <x:f>H9</x:f>
        <x:v>72</x:v>
      </x:c>
      <x:c r="X9" t="n">
        <x:f>I9</x:f>
        <x:v>84</x:v>
      </x:c>
    </x:row>
    <x:row r="10">
      <x:c r="A10" s="36" t="d">
        <x:v>2026-09-03T12:00:00.000Z</x:v>
      </x:c>
      <x:c r="B10" s="31" t="str">
        <x:v>jueves</x:v>
      </x:c>
      <x:c r="C10" s="39" t="n">
        <x:f>IF(WEEKDAY(A10,2)&lt;=5,$L$10,0)</x:f>
        <x:v>9</x:v>
      </x:c>
      <x:c r="D10" s="41" t="n">
        <x:v>0</x:v>
      </x:c>
      <x:c r="E10" s="41" t="n">
        <x:v>11</x:v>
      </x:c>
      <x:c r="F10" s="44" t="n">
        <x:f>F9+C10</x:f>
        <x:v>36</x:v>
      </x:c>
      <x:c r="G10" s="44" t="n">
        <x:f>IF(ISBLANK(E10),"",G9+E10)</x:f>
        <x:v>38</x:v>
      </x:c>
      <x:c r="H10" s="47" t="n">
        <x:f>MAX(0,$L$12-F10)</x:f>
        <x:v>63</x:v>
      </x:c>
      <x:c r="I10" s="47" t="n">
        <x:f>IF(ISBLANK(E10),"",MAX(0,I9+D10-E10))</x:f>
        <x:v>73</x:v>
      </x:c>
      <x:c r="J10" s="50" t="str">
        <x:v>Se completa trabajo pendiente.</x:v>
      </x:c>
      <x:c r="K10" s="30" t="str">
        <x:v>Horas-equipo/día</x:v>
      </x:c>
      <x:c r="L10" s="55" t="n">
        <x:f>L8*L9</x:f>
        <x:v>9</x:v>
      </x:c>
      <x:c r="V10" t="str">
        <x:v>03/09</x:v>
      </x:c>
      <x:c r="W10" t="n">
        <x:f>H10</x:f>
        <x:v>63</x:v>
      </x:c>
      <x:c r="X10" t="n">
        <x:f>I10</x:f>
        <x:v>73</x:v>
      </x:c>
    </x:row>
    <x:row r="11">
      <x:c r="A11" s="36" t="d">
        <x:v>2026-09-04T12:00:00.000Z</x:v>
      </x:c>
      <x:c r="B11" s="31" t="str">
        <x:v>viernes</x:v>
      </x:c>
      <x:c r="C11" s="39" t="n">
        <x:f>IF(WEEKDAY(A11,2)&lt;=5,$L$10,0)</x:f>
        <x:v>9</x:v>
      </x:c>
      <x:c r="D11" s="41" t="n">
        <x:v>0</x:v>
      </x:c>
      <x:c r="E11" s="41" t="n">
        <x:v>10</x:v>
      </x:c>
      <x:c r="F11" s="44" t="n">
        <x:f>F10+C11</x:f>
        <x:v>45</x:v>
      </x:c>
      <x:c r="G11" s="44" t="n">
        <x:f>IF(ISBLANK(E11),"",G10+E11)</x:f>
        <x:v>48</x:v>
      </x:c>
      <x:c r="H11" s="47" t="n">
        <x:f>MAX(0,$L$12-F11)</x:f>
        <x:v>54</x:v>
      </x:c>
      <x:c r="I11" s="47" t="n">
        <x:f>IF(ISBLANK(E11),"",MAX(0,I10+D11-E11))</x:f>
        <x:v>63</x:v>
      </x:c>
      <x:c r="J11" s="50" t="str">
        <x:v>Avance sostenido.</x:v>
      </x:c>
      <x:c r="K11" s="30" t="str">
        <x:v>Jornadas hábiles</x:v>
      </x:c>
      <x:c r="L11" s="55" t="n">
        <x:v>11</x:v>
      </x:c>
      <x:c r="V11" t="str">
        <x:v>04/09</x:v>
      </x:c>
      <x:c r="W11" t="n">
        <x:f>H11</x:f>
        <x:v>54</x:v>
      </x:c>
      <x:c r="X11" t="n">
        <x:f>I11</x:f>
        <x:v>63</x:v>
      </x:c>
    </x:row>
    <x:row r="12">
      <x:c r="A12" s="36" t="d">
        <x:v>2026-09-05T12:00:00.000Z</x:v>
      </x:c>
      <x:c r="B12" s="31" t="str">
        <x:v>sábado</x:v>
      </x:c>
      <x:c r="C12" s="39" t="n">
        <x:f>IF(WEEKDAY(A12,2)&lt;=5,$L$10,0)</x:f>
        <x:v>0</x:v>
      </x:c>
      <x:c r="D12" s="41" t="n">
        <x:v>0</x:v>
      </x:c>
      <x:c r="E12" s="41" t="n">
        <x:v>0</x:v>
      </x:c>
      <x:c r="F12" s="44" t="n">
        <x:f>F11+C12</x:f>
        <x:v>45</x:v>
      </x:c>
      <x:c r="G12" s="44" t="n">
        <x:f>IF(ISBLANK(E12),"",G11+E12)</x:f>
        <x:v>48</x:v>
      </x:c>
      <x:c r="H12" s="47" t="n">
        <x:f>MAX(0,$L$12-F12)</x:f>
        <x:v>54</x:v>
      </x:c>
      <x:c r="I12" s="47" t="n">
        <x:f>IF(ISBLANK(E12),"",MAX(0,I11+D12-E12))</x:f>
        <x:v>63</x:v>
      </x:c>
      <x:c r="J12" s="50" t="str">
        <x:v>Fin de semana.</x:v>
      </x:c>
      <x:c r="K12" s="33" t="str">
        <x:v>Capacidad inicial</x:v>
      </x:c>
      <x:c r="L12" s="56" t="n">
        <x:f>L10*L11</x:f>
        <x:v>99</x:v>
      </x:c>
      <x:c r="V12" t="str">
        <x:v>05/09</x:v>
      </x:c>
      <x:c r="W12" t="n">
        <x:f>H12</x:f>
        <x:v>54</x:v>
      </x:c>
      <x:c r="X12" t="n">
        <x:f>I12</x:f>
        <x:v>63</x:v>
      </x:c>
    </x:row>
    <x:row r="13">
      <x:c r="A13" s="36" t="d">
        <x:v>2026-09-06T12:00:00.000Z</x:v>
      </x:c>
      <x:c r="B13" s="31" t="str">
        <x:v>domingo</x:v>
      </x:c>
      <x:c r="C13" s="39" t="n">
        <x:f>IF(WEEKDAY(A13,2)&lt;=5,$L$10,0)</x:f>
        <x:v>0</x:v>
      </x:c>
      <x:c r="D13" s="41" t="n">
        <x:v>0</x:v>
      </x:c>
      <x:c r="E13" s="41" t="n">
        <x:v>0</x:v>
      </x:c>
      <x:c r="F13" s="44" t="n">
        <x:f>F12+C13</x:f>
        <x:v>45</x:v>
      </x:c>
      <x:c r="G13" s="44" t="n">
        <x:f>IF(ISBLANK(E13),"",G12+E13)</x:f>
        <x:v>48</x:v>
      </x:c>
      <x:c r="H13" s="47" t="n">
        <x:f>MAX(0,$L$12-F13)</x:f>
        <x:v>54</x:v>
      </x:c>
      <x:c r="I13" s="47" t="n">
        <x:f>IF(ISBLANK(E13),"",MAX(0,I12+D13-E13))</x:f>
        <x:v>63</x:v>
      </x:c>
      <x:c r="J13" s="50" t="str">
        <x:v>Fin de semana.</x:v>
      </x:c>
      <x:c r="V13" t="str">
        <x:v>06/09</x:v>
      </x:c>
      <x:c r="W13" t="n">
        <x:f>H13</x:f>
        <x:v>54</x:v>
      </x:c>
      <x:c r="X13" t="n">
        <x:f>I13</x:f>
        <x:v>63</x:v>
      </x:c>
    </x:row>
    <x:row r="14">
      <x:c r="A14" s="36" t="d">
        <x:v>2026-09-07T12:00:00.000Z</x:v>
      </x:c>
      <x:c r="B14" s="31" t="str">
        <x:v>lunes</x:v>
      </x:c>
      <x:c r="C14" s="39" t="n">
        <x:f>IF(WEEKDAY(A14,2)&lt;=5,$L$10,0)</x:f>
        <x:v>9</x:v>
      </x:c>
      <x:c r="D14" s="41" t="n">
        <x:v>0</x:v>
      </x:c>
      <x:c r="E14" s="41" t="n">
        <x:v>9</x:v>
      </x:c>
      <x:c r="F14" s="44" t="n">
        <x:f>F13+C14</x:f>
        <x:v>54</x:v>
      </x:c>
      <x:c r="G14" s="44" t="n">
        <x:f>IF(ISBLANK(E14),"",G13+E14)</x:f>
        <x:v>57</x:v>
      </x:c>
      <x:c r="H14" s="47" t="n">
        <x:f>MAX(0,$L$12-F14)</x:f>
        <x:v>45</x:v>
      </x:c>
      <x:c r="I14" s="47" t="n">
        <x:f>IF(ISBLANK(E14),"",MAX(0,I13+D14-E14))</x:f>
        <x:v>54</x:v>
      </x:c>
      <x:c r="J14" s="50" t="str">
        <x:v>Jornada normal.</x:v>
      </x:c>
      <x:c r="V14" t="str">
        <x:v>07/09</x:v>
      </x:c>
      <x:c r="W14" t="n">
        <x:f>H14</x:f>
        <x:v>45</x:v>
      </x:c>
      <x:c r="X14" t="n">
        <x:f>I14</x:f>
        <x:v>54</x:v>
      </x:c>
    </x:row>
    <x:row r="15">
      <x:c r="A15" s="36" t="d">
        <x:v>2026-09-08T12:00:00.000Z</x:v>
      </x:c>
      <x:c r="B15" s="31" t="str">
        <x:v>martes</x:v>
      </x:c>
      <x:c r="C15" s="39" t="n">
        <x:f>IF(WEEKDAY(A15,2)&lt;=5,$L$10,0)</x:f>
        <x:v>9</x:v>
      </x:c>
      <x:c r="D15" s="41" t="n">
        <x:v>6</x:v>
      </x:c>
      <x:c r="E15" s="41" t="n">
        <x:v>10</x:v>
      </x:c>
      <x:c r="F15" s="44" t="n">
        <x:f>F14+C15</x:f>
        <x:v>63</x:v>
      </x:c>
      <x:c r="G15" s="44" t="n">
        <x:f>IF(ISBLANK(E15),"",G14+E15)</x:f>
        <x:v>67</x:v>
      </x:c>
      <x:c r="H15" s="47" t="n">
        <x:f>MAX(0,$L$12-F15)</x:f>
        <x:v>36</x:v>
      </x:c>
      <x:c r="I15" s="47" t="n">
        <x:f>IF(ISBLANK(E15),"",MAX(0,I14+D15-E15))</x:f>
        <x:v>50</x:v>
      </x:c>
      <x:c r="J15" s="50" t="str">
        <x:v>Ajuste menor de alcance: 6 horas.</x:v>
      </x:c>
      <x:c r="V15" t="str">
        <x:v>08/09</x:v>
      </x:c>
      <x:c r="W15" t="n">
        <x:f>H15</x:f>
        <x:v>36</x:v>
      </x:c>
      <x:c r="X15" t="n">
        <x:f>I15</x:f>
        <x:v>50</x:v>
      </x:c>
    </x:row>
    <x:row r="16">
      <x:c r="A16" s="36" t="d">
        <x:v>2026-09-09T12:00:00.000Z</x:v>
      </x:c>
      <x:c r="B16" s="31" t="str">
        <x:v>miércoles</x:v>
      </x:c>
      <x:c r="C16" s="39" t="n">
        <x:f>IF(WEEKDAY(A16,2)&lt;=5,$L$10,0)</x:f>
        <x:v>9</x:v>
      </x:c>
      <x:c r="D16" s="41" t="n">
        <x:v>0</x:v>
      </x:c>
      <x:c r="E16" s="41" t="n">
        <x:v>12</x:v>
      </x:c>
      <x:c r="F16" s="44" t="n">
        <x:f>F15+C16</x:f>
        <x:v>72</x:v>
      </x:c>
      <x:c r="G16" s="44" t="n">
        <x:f>IF(ISBLANK(E16),"",G15+E16)</x:f>
        <x:v>79</x:v>
      </x:c>
      <x:c r="H16" s="47" t="n">
        <x:f>MAX(0,$L$12-F16)</x:f>
        <x:v>27</x:v>
      </x:c>
      <x:c r="I16" s="47" t="n">
        <x:f>IF(ISBLANK(E16),"",MAX(0,I15+D16-E16))</x:f>
        <x:v>38</x:v>
      </x:c>
      <x:c r="J16" s="50" t="str">
        <x:v>Se reduce trabajo acumulado.</x:v>
      </x:c>
      <x:c r="V16" t="str">
        <x:v>09/09</x:v>
      </x:c>
      <x:c r="W16" t="n">
        <x:f>H16</x:f>
        <x:v>27</x:v>
      </x:c>
      <x:c r="X16" t="n">
        <x:f>I16</x:f>
        <x:v>38</x:v>
      </x:c>
    </x:row>
    <x:row r="17">
      <x:c r="A17" s="36" t="d">
        <x:v>2026-09-10T12:00:00.000Z</x:v>
      </x:c>
      <x:c r="B17" s="31" t="str">
        <x:v>jueves</x:v>
      </x:c>
      <x:c r="C17" s="39" t="n">
        <x:f>IF(WEEKDAY(A17,2)&lt;=5,$L$10,0)</x:f>
        <x:v>9</x:v>
      </x:c>
      <x:c r="D17" s="41" t="n">
        <x:v>0</x:v>
      </x:c>
      <x:c r="E17" s="41" t="n">
        <x:v>12</x:v>
      </x:c>
      <x:c r="F17" s="44" t="n">
        <x:f>F16+C17</x:f>
        <x:v>81</x:v>
      </x:c>
      <x:c r="G17" s="44" t="n">
        <x:f>IF(ISBLANK(E17),"",G16+E17)</x:f>
        <x:v>91</x:v>
      </x:c>
      <x:c r="H17" s="47" t="n">
        <x:f>MAX(0,$L$12-F17)</x:f>
        <x:v>18</x:v>
      </x:c>
      <x:c r="I17" s="47" t="n">
        <x:f>IF(ISBLANK(E17),"",MAX(0,I16+D17-E17))</x:f>
        <x:v>26</x:v>
      </x:c>
      <x:c r="J17" s="50" t="str">
        <x:v>Avance superior al plan.</x:v>
      </x:c>
      <x:c r="V17" t="str">
        <x:v>10/09</x:v>
      </x:c>
      <x:c r="W17" t="n">
        <x:f>H17</x:f>
        <x:v>18</x:v>
      </x:c>
      <x:c r="X17" t="n">
        <x:f>I17</x:f>
        <x:v>26</x:v>
      </x:c>
    </x:row>
    <x:row r="18">
      <x:c r="A18" s="36" t="d">
        <x:v>2026-09-11T12:00:00.000Z</x:v>
      </x:c>
      <x:c r="B18" s="31" t="str">
        <x:v>viernes</x:v>
      </x:c>
      <x:c r="C18" s="39" t="n">
        <x:f>IF(WEEKDAY(A18,2)&lt;=5,$L$10,0)</x:f>
        <x:v>9</x:v>
      </x:c>
      <x:c r="D18" s="41" t="n">
        <x:v>0</x:v>
      </x:c>
      <x:c r="E18" s="41" t="n">
        <x:v>13</x:v>
      </x:c>
      <x:c r="F18" s="44" t="n">
        <x:f>F17+C18</x:f>
        <x:v>90</x:v>
      </x:c>
      <x:c r="G18" s="44" t="n">
        <x:f>IF(ISBLANK(E18),"",G17+E18)</x:f>
        <x:v>104</x:v>
      </x:c>
      <x:c r="H18" s="47" t="n">
        <x:f>MAX(0,$L$12-F18)</x:f>
        <x:v>9</x:v>
      </x:c>
      <x:c r="I18" s="47" t="n">
        <x:f>IF(ISBLANK(E18),"",MAX(0,I17+D18-E18))</x:f>
        <x:v>13</x:v>
      </x:c>
      <x:c r="J18" s="50" t="str">
        <x:v>Cierre de tareas principales.</x:v>
      </x:c>
      <x:c r="V18" t="str">
        <x:v>11/09</x:v>
      </x:c>
      <x:c r="W18" t="n">
        <x:f>H18</x:f>
        <x:v>9</x:v>
      </x:c>
      <x:c r="X18" t="n">
        <x:f>I18</x:f>
        <x:v>13</x:v>
      </x:c>
    </x:row>
    <x:row r="19">
      <x:c r="A19" s="36" t="d">
        <x:v>2026-09-12T12:00:00.000Z</x:v>
      </x:c>
      <x:c r="B19" s="31" t="str">
        <x:v>sábado</x:v>
      </x:c>
      <x:c r="C19" s="39" t="n">
        <x:f>IF(WEEKDAY(A19,2)&lt;=5,$L$10,0)</x:f>
        <x:v>0</x:v>
      </x:c>
      <x:c r="D19" s="41" t="n">
        <x:v>0</x:v>
      </x:c>
      <x:c r="E19" s="41" t="n">
        <x:v>0</x:v>
      </x:c>
      <x:c r="F19" s="44" t="n">
        <x:f>F18+C19</x:f>
        <x:v>90</x:v>
      </x:c>
      <x:c r="G19" s="44" t="n">
        <x:f>IF(ISBLANK(E19),"",G18+E19)</x:f>
        <x:v>104</x:v>
      </x:c>
      <x:c r="H19" s="47" t="n">
        <x:f>MAX(0,$L$12-F19)</x:f>
        <x:v>9</x:v>
      </x:c>
      <x:c r="I19" s="47" t="n">
        <x:f>IF(ISBLANK(E19),"",MAX(0,I18+D19-E19))</x:f>
        <x:v>13</x:v>
      </x:c>
      <x:c r="J19" s="50" t="str">
        <x:v>Fin de semana.</x:v>
      </x:c>
      <x:c r="V19" t="str">
        <x:v>12/09</x:v>
      </x:c>
      <x:c r="W19" t="n">
        <x:f>H19</x:f>
        <x:v>9</x:v>
      </x:c>
      <x:c r="X19" t="n">
        <x:f>I19</x:f>
        <x:v>13</x:v>
      </x:c>
    </x:row>
    <x:row r="20">
      <x:c r="A20" s="36" t="d">
        <x:v>2026-09-13T12:00:00.000Z</x:v>
      </x:c>
      <x:c r="B20" s="31" t="str">
        <x:v>domingo</x:v>
      </x:c>
      <x:c r="C20" s="39" t="n">
        <x:f>IF(WEEKDAY(A20,2)&lt;=5,$L$10,0)</x:f>
        <x:v>0</x:v>
      </x:c>
      <x:c r="D20" s="41" t="n">
        <x:v>0</x:v>
      </x:c>
      <x:c r="E20" s="41" t="n">
        <x:v>0</x:v>
      </x:c>
      <x:c r="F20" s="44" t="n">
        <x:f>F19+C20</x:f>
        <x:v>90</x:v>
      </x:c>
      <x:c r="G20" s="44" t="n">
        <x:f>IF(ISBLANK(E20),"",G19+E20)</x:f>
        <x:v>104</x:v>
      </x:c>
      <x:c r="H20" s="47" t="n">
        <x:f>MAX(0,$L$12-F20)</x:f>
        <x:v>9</x:v>
      </x:c>
      <x:c r="I20" s="47" t="n">
        <x:f>IF(ISBLANK(E20),"",MAX(0,I19+D20-E20))</x:f>
        <x:v>13</x:v>
      </x:c>
      <x:c r="J20" s="50" t="str">
        <x:v>Fin de semana.</x:v>
      </x:c>
      <x:c r="V20" t="str">
        <x:v>13/09</x:v>
      </x:c>
      <x:c r="W20" t="n">
        <x:f>H20</x:f>
        <x:v>9</x:v>
      </x:c>
      <x:c r="X20" t="n">
        <x:f>I20</x:f>
        <x:v>13</x:v>
      </x:c>
    </x:row>
    <x:row r="21">
      <x:c r="A21" s="37" t="d">
        <x:v>2026-09-14T12:00:00.000Z</x:v>
      </x:c>
      <x:c r="B21" s="34" t="str">
        <x:v>lunes</x:v>
      </x:c>
      <x:c r="C21" s="40" t="n">
        <x:f>IF(WEEKDAY(A21,2)&lt;=5,$L$10,0)</x:f>
        <x:v>9</x:v>
      </x:c>
      <x:c r="D21" s="42" t="n">
        <x:v>0</x:v>
      </x:c>
      <x:c r="E21" s="42" t="n">
        <x:v>13</x:v>
      </x:c>
      <x:c r="F21" s="45" t="n">
        <x:f>F20+C21</x:f>
        <x:v>99</x:v>
      </x:c>
      <x:c r="G21" s="45" t="n">
        <x:f>IF(ISBLANK(E21),"",G20+E21)</x:f>
        <x:v>117</x:v>
      </x:c>
      <x:c r="H21" s="48" t="n">
        <x:f>MAX(0,$L$12-F21)</x:f>
        <x:v>0</x:v>
      </x:c>
      <x:c r="I21" s="48" t="n">
        <x:f>IF(ISBLANK(E21),"",MAX(0,I20+D21-E21))</x:f>
        <x:v>0</x:v>
      </x:c>
      <x:c r="J21" s="51" t="str">
        <x:v>Cierre del Sprint 1.</x:v>
      </x:c>
      <x:c r="V21" t="str">
        <x:v>14/09</x:v>
      </x:c>
      <x:c r="W21" t="n">
        <x:f>H21</x:f>
        <x:v>0</x:v>
      </x:c>
      <x:c r="X21" t="n">
        <x:f>I21</x:f>
        <x:v>0</x:v>
      </x:c>
    </x:row>
    <x:row r="24" ht="34" customHeight="1">
      <x:c r="A24" s="14" t="str">
        <x:v>Uso de la tabla</x:v>
      </x:c>
      <x:c r="B24" s="15"/>
      <x:c r="C24" s="15"/>
      <x:c r="D24" s="15"/>
      <x:c r="E24" s="15"/>
      <x:c r="F24" s="15"/>
      <x:c r="G24" s="15"/>
      <x:c r="H24" s="15"/>
      <x:c r="I24" s="15"/>
      <x:c r="J24" s="16"/>
    </x:row>
    <x:row r="25">
      <x:c r="A25" s="60" t="str">
        <x:v>Actualice únicamente las celdas amarillas de Trabajo agregado y Trabajo real completado. Las columnas acumuladas, los saldos restantes y el gráfico de la hoja siguiente se recalculan automáticamente.</x:v>
      </x:c>
      <x:c r="B25" s="60"/>
      <x:c r="C25" s="60"/>
      <x:c r="D25" s="60"/>
      <x:c r="E25" s="60"/>
      <x:c r="F25" s="60"/>
      <x:c r="G25" s="60"/>
      <x:c r="H25" s="60"/>
      <x:c r="I25" s="60"/>
      <x:c r="J25" s="60"/>
    </x:row>
    <x:row r="26">
      <x:c r="A26" s="60"/>
      <x:c r="B26" s="60"/>
      <x:c r="C26" s="60"/>
      <x:c r="D26" s="60"/>
      <x:c r="E26" s="60"/>
      <x:c r="F26" s="60"/>
      <x:c r="G26" s="60"/>
      <x:c r="H26" s="60"/>
      <x:c r="I26" s="60"/>
      <x:c r="J26" s="60"/>
    </x:row>
    <x:row r="27">
      <x:c r="A27" s="60"/>
      <x:c r="B27" s="60"/>
      <x:c r="C27" s="60"/>
      <x:c r="D27" s="60"/>
      <x:c r="E27" s="60"/>
      <x:c r="F27" s="60"/>
      <x:c r="G27" s="60"/>
      <x:c r="H27" s="60"/>
      <x:c r="I27" s="60"/>
      <x:c r="J27" s="60"/>
    </x:row>
  </x:sheetData>
  <x:mergeCells>
    <x:mergeCell ref="A2:L2"/>
    <x:mergeCell ref="A3:L3"/>
    <x:mergeCell ref="A24:J24"/>
    <x:mergeCell ref="A25:J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</x:cols>
  <x:sheetData>
    <x:row r="2" ht="28" customHeight="1">
      <x:c r="A2" s="1" t="str">
        <x:v>Sprint 1 — Burndown Chart</x:v>
      </x:c>
    </x:row>
    <x:row r="3" ht="21" customHeight="1">
      <x:c r="A3" s="2" t="str">
        <x:v>Tienda Pública Online. Finalizado. Unidad: horas-equipo restantes.</x:v>
      </x:c>
    </x:row>
    <x:row r="5">
      <x:c r="X5" t="str">
        <x:v>Fecha</x:v>
      </x:c>
      <x:c r="Y5" t="str">
        <x:v>Ideal restante</x:v>
      </x:c>
      <x:c r="Z5" t="str">
        <x:v>Real restante</x:v>
      </x:c>
    </x:row>
    <x:row r="6">
      <x:c r="X6" t="str">
        <x:v>Inicio</x:v>
      </x:c>
      <x:c r="Y6" t="n">
        <x:f>'Sprint 1 - Tabla'!H6</x:f>
        <x:v>99</x:v>
      </x:c>
      <x:c r="Z6" t="n">
        <x:f>'Sprint 1 - Tabla'!I6</x:f>
        <x:v>99</x:v>
      </x:c>
    </x:row>
    <x:row r="7">
      <x:c r="X7" t="str">
        <x:v>31/08</x:v>
      </x:c>
      <x:c r="Y7" t="n">
        <x:f>'Sprint 1 - Tabla'!H7</x:f>
        <x:v>90</x:v>
      </x:c>
      <x:c r="Z7" t="n">
        <x:f>IF(ISBLANK('Sprint 1 - Tabla'!E7),"",'Sprint 1 - Tabla'!I7)</x:f>
        <x:v>91</x:v>
      </x:c>
    </x:row>
    <x:row r="8">
      <x:c r="X8" t="str">
        <x:v>01/09</x:v>
      </x:c>
      <x:c r="Y8" t="n">
        <x:f>'Sprint 1 - Tabla'!H8</x:f>
        <x:v>81</x:v>
      </x:c>
      <x:c r="Z8" t="n">
        <x:f>IF(ISBLANK('Sprint 1 - Tabla'!E8),"",'Sprint 1 - Tabla'!I8)</x:f>
        <x:v>81</x:v>
      </x:c>
    </x:row>
    <x:row r="9">
      <x:c r="X9" t="str">
        <x:v>02/09</x:v>
      </x:c>
      <x:c r="Y9" t="n">
        <x:f>'Sprint 1 - Tabla'!H9</x:f>
        <x:v>72</x:v>
      </x:c>
      <x:c r="Z9" t="n">
        <x:f>IF(ISBLANK('Sprint 1 - Tabla'!E9),"",'Sprint 1 - Tabla'!I9)</x:f>
        <x:v>84</x:v>
      </x:c>
    </x:row>
    <x:row r="10">
      <x:c r="X10" t="str">
        <x:v>03/09</x:v>
      </x:c>
      <x:c r="Y10" t="n">
        <x:f>'Sprint 1 - Tabla'!H10</x:f>
        <x:v>63</x:v>
      </x:c>
      <x:c r="Z10" t="n">
        <x:f>IF(ISBLANK('Sprint 1 - Tabla'!E10),"",'Sprint 1 - Tabla'!I10)</x:f>
        <x:v>73</x:v>
      </x:c>
    </x:row>
    <x:row r="11">
      <x:c r="X11" t="str">
        <x:v>04/09</x:v>
      </x:c>
      <x:c r="Y11" t="n">
        <x:f>'Sprint 1 - Tabla'!H11</x:f>
        <x:v>54</x:v>
      </x:c>
      <x:c r="Z11" t="n">
        <x:f>IF(ISBLANK('Sprint 1 - Tabla'!E11),"",'Sprint 1 - Tabla'!I11)</x:f>
        <x:v>63</x:v>
      </x:c>
    </x:row>
    <x:row r="12">
      <x:c r="X12" t="str">
        <x:v>05/09</x:v>
      </x:c>
      <x:c r="Y12" t="n">
        <x:f>'Sprint 1 - Tabla'!H12</x:f>
        <x:v>54</x:v>
      </x:c>
      <x:c r="Z12" t="n">
        <x:f>IF(ISBLANK('Sprint 1 - Tabla'!E12),"",'Sprint 1 - Tabla'!I12)</x:f>
        <x:v>63</x:v>
      </x:c>
    </x:row>
    <x:row r="13">
      <x:c r="X13" t="str">
        <x:v>06/09</x:v>
      </x:c>
      <x:c r="Y13" t="n">
        <x:f>'Sprint 1 - Tabla'!H13</x:f>
        <x:v>54</x:v>
      </x:c>
      <x:c r="Z13" t="n">
        <x:f>IF(ISBLANK('Sprint 1 - Tabla'!E13),"",'Sprint 1 - Tabla'!I13)</x:f>
        <x:v>63</x:v>
      </x:c>
    </x:row>
    <x:row r="14">
      <x:c r="X14" t="str">
        <x:v>07/09</x:v>
      </x:c>
      <x:c r="Y14" t="n">
        <x:f>'Sprint 1 - Tabla'!H14</x:f>
        <x:v>45</x:v>
      </x:c>
      <x:c r="Z14" t="n">
        <x:f>IF(ISBLANK('Sprint 1 - Tabla'!E14),"",'Sprint 1 - Tabla'!I14)</x:f>
        <x:v>54</x:v>
      </x:c>
    </x:row>
    <x:row r="15">
      <x:c r="X15" t="str">
        <x:v>08/09</x:v>
      </x:c>
      <x:c r="Y15" t="n">
        <x:f>'Sprint 1 - Tabla'!H15</x:f>
        <x:v>36</x:v>
      </x:c>
      <x:c r="Z15" t="n">
        <x:f>IF(ISBLANK('Sprint 1 - Tabla'!E15),"",'Sprint 1 - Tabla'!I15)</x:f>
        <x:v>50</x:v>
      </x:c>
    </x:row>
    <x:row r="16">
      <x:c r="X16" t="str">
        <x:v>09/09</x:v>
      </x:c>
      <x:c r="Y16" t="n">
        <x:f>'Sprint 1 - Tabla'!H16</x:f>
        <x:v>27</x:v>
      </x:c>
      <x:c r="Z16" t="n">
        <x:f>IF(ISBLANK('Sprint 1 - Tabla'!E16),"",'Sprint 1 - Tabla'!I16)</x:f>
        <x:v>38</x:v>
      </x:c>
    </x:row>
    <x:row r="17">
      <x:c r="X17" t="str">
        <x:v>10/09</x:v>
      </x:c>
      <x:c r="Y17" t="n">
        <x:f>'Sprint 1 - Tabla'!H17</x:f>
        <x:v>18</x:v>
      </x:c>
      <x:c r="Z17" t="n">
        <x:f>IF(ISBLANK('Sprint 1 - Tabla'!E17),"",'Sprint 1 - Tabla'!I17)</x:f>
        <x:v>26</x:v>
      </x:c>
    </x:row>
    <x:row r="18">
      <x:c r="X18" t="str">
        <x:v>11/09</x:v>
      </x:c>
      <x:c r="Y18" t="n">
        <x:f>'Sprint 1 - Tabla'!H18</x:f>
        <x:v>9</x:v>
      </x:c>
      <x:c r="Z18" t="n">
        <x:f>IF(ISBLANK('Sprint 1 - Tabla'!E18),"",'Sprint 1 - Tabla'!I18)</x:f>
        <x:v>13</x:v>
      </x:c>
    </x:row>
    <x:row r="19">
      <x:c r="X19" t="str">
        <x:v>12/09</x:v>
      </x:c>
      <x:c r="Y19" t="n">
        <x:f>'Sprint 1 - Tabla'!H19</x:f>
        <x:v>9</x:v>
      </x:c>
      <x:c r="Z19" t="n">
        <x:f>IF(ISBLANK('Sprint 1 - Tabla'!E19),"",'Sprint 1 - Tabla'!I19)</x:f>
        <x:v>13</x:v>
      </x:c>
    </x:row>
    <x:row r="20">
      <x:c r="X20" t="str">
        <x:v>13/09</x:v>
      </x:c>
      <x:c r="Y20" t="n">
        <x:f>'Sprint 1 - Tabla'!H20</x:f>
        <x:v>9</x:v>
      </x:c>
      <x:c r="Z20" t="n">
        <x:f>IF(ISBLANK('Sprint 1 - Tabla'!E20),"",'Sprint 1 - Tabla'!I20)</x:f>
        <x:v>13</x:v>
      </x:c>
    </x:row>
    <x:row r="21">
      <x:c r="X21" t="str">
        <x:v>14/09</x:v>
      </x:c>
      <x:c r="Y21" t="n">
        <x:f>'Sprint 1 - Tabla'!H21</x:f>
        <x:v>0</x:v>
      </x:c>
      <x:c r="Z21" t="n">
        <x:f>IF(ISBLANK('Sprint 1 - Tabla'!E21),"",'Sprint 1 - Tabla'!I21)</x:f>
        <x:v>0</x:v>
      </x:c>
    </x:row>
  </x:sheetData>
  <x:mergeCells>
    <x:mergeCell ref="A2:Q2"/>
    <x:mergeCell ref="A3:Q3"/>
  </x:mergeCells>
  <x:pageMargins left="0.7" right="0.7" top="0.75" bottom="0.75" header="0.3" footer="0.3"/>
  <x:drawing xmlns:r="http://schemas.openxmlformats.org/officeDocument/2006/relationships" r:id="Rc85b7d31963541f4"/>
</x:worksheet>
</file>

<file path=xl/worksheets/sheet3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1" max="11" width="22" hidden="0" customWidth="1"/>
    <x:col min="12" max="12" width="17" hidden="0" customWidth="1"/>
    <x:col min="1" max="1" width="13" hidden="0" customWidth="1"/>
    <x:col min="2" max="2" width="13" hidden="0" customWidth="1"/>
    <x:col min="3" max="3" width="12" hidden="0" customWidth="1"/>
    <x:col min="4" max="4" width="15" hidden="0" customWidth="1"/>
    <x:col min="5" max="5" width="18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40" hidden="0" customWidth="1"/>
  </x:cols>
  <x:sheetData>
    <x:row r="2" ht="28" customHeight="1">
      <x:c r="A2" s="1" t="str">
        <x:v>Sprint 2 — Cuenta y Carrito</x:v>
      </x:c>
    </x:row>
    <x:row r="3" ht="21" customHeight="1">
      <x:c r="A3" s="2" t="str">
        <x:v>En curso al 05/10/2026. Seguimiento en horas-equipo; 3 integrantes × 3 horas por jornada hábil.</x:v>
      </x:c>
    </x:row>
    <x:row r="5" ht="34" customHeight="1">
      <x:c r="A5" s="14" t="str">
        <x:v>Fecha</x:v>
      </x:c>
      <x:c r="B5" s="15" t="str">
        <x:v>Día</x:v>
      </x:c>
      <x:c r="C5" s="15" t="str">
        <x:v>Plan diario</x:v>
      </x:c>
      <x:c r="D5" s="15" t="str">
        <x:v>Trabajo agregado</x:v>
      </x:c>
      <x:c r="E5" s="15" t="str">
        <x:v>Trabajo real completado</x:v>
      </x:c>
      <x:c r="F5" s="15" t="str">
        <x:v>Plan acumulado</x:v>
      </x:c>
      <x:c r="G5" s="15" t="str">
        <x:v>Real acumulado</x:v>
      </x:c>
      <x:c r="H5" s="15" t="str">
        <x:v>Ideal restante</x:v>
      </x:c>
      <x:c r="I5" s="15" t="str">
        <x:v>Real restante</x:v>
      </x:c>
      <x:c r="J5" s="16" t="str">
        <x:v>Observación</x:v>
      </x:c>
      <x:c r="K5" s="14" t="str">
        <x:v>Parámetro</x:v>
      </x:c>
      <x:c r="L5" s="16" t="str">
        <x:v>Valor</x:v>
      </x:c>
      <x:c r="V5" t="str">
        <x:v>Fecha</x:v>
      </x:c>
      <x:c r="W5" t="str">
        <x:v>Ideal restante</x:v>
      </x:c>
      <x:c r="X5" t="str">
        <x:v>Real restante</x:v>
      </x:c>
    </x:row>
    <x:row r="6">
      <x:c r="A6" s="27" t="str">
        <x:v>Inicio</x:v>
      </x:c>
      <x:c r="B6" s="28" t="str"/>
      <x:c r="C6" s="38" t="n">
        <x:v>0</x:v>
      </x:c>
      <x:c r="D6" s="38" t="n">
        <x:v>0</x:v>
      </x:c>
      <x:c r="E6" s="38" t="n">
        <x:v>0</x:v>
      </x:c>
      <x:c r="F6" s="43" t="n">
        <x:v>0</x:v>
      </x:c>
      <x:c r="G6" s="43" t="n">
        <x:v>0</x:v>
      </x:c>
      <x:c r="H6" s="46" t="n">
        <x:f>$L$12</x:f>
        <x:v>90</x:v>
      </x:c>
      <x:c r="I6" s="46" t="n">
        <x:f>$L$12</x:f>
        <x:v>90</x:v>
      </x:c>
      <x:c r="J6" s="49" t="str">
        <x:v>Línea base del sprint.</x:v>
      </x:c>
      <x:c r="K6" s="27" t="str">
        <x:v>Inicio</x:v>
      </x:c>
      <x:c r="L6" s="52" t="d">
        <x:v>2026-09-29T12:00:00.000Z</x:v>
      </x:c>
      <x:c r="V6" t="str">
        <x:v>Inicio</x:v>
      </x:c>
      <x:c r="W6" t="n">
        <x:f>H6</x:f>
        <x:v>90</x:v>
      </x:c>
      <x:c r="X6" t="n">
        <x:f>I6</x:f>
        <x:v>90</x:v>
      </x:c>
    </x:row>
    <x:row r="7">
      <x:c r="A7" s="36" t="d">
        <x:v>2026-09-29T12:00:00.000Z</x:v>
      </x:c>
      <x:c r="B7" s="31" t="str">
        <x:v>martes</x:v>
      </x:c>
      <x:c r="C7" s="39" t="n">
        <x:f>IF(WEEKDAY(A7,2)&lt;=5,$L$10,0)</x:f>
        <x:v>9</x:v>
      </x:c>
      <x:c r="D7" s="41" t="n">
        <x:v>0</x:v>
      </x:c>
      <x:c r="E7" s="41" t="n">
        <x:v>8</x:v>
      </x:c>
      <x:c r="F7" s="44" t="n">
        <x:f>F6+C7</x:f>
        <x:v>9</x:v>
      </x:c>
      <x:c r="G7" s="44" t="n">
        <x:f>IF(ISBLANK(E7),"",G6+E7)</x:f>
        <x:v>8</x:v>
      </x:c>
      <x:c r="H7" s="47" t="n">
        <x:f>MAX(0,$L$12-F7)</x:f>
        <x:v>81</x:v>
      </x:c>
      <x:c r="I7" s="47" t="n">
        <x:f>IF(ISBLANK(E7),"",MAX(0,I6+D7-E7))</x:f>
        <x:v>82</x:v>
      </x:c>
      <x:c r="J7" s="50" t="str">
        <x:v>Inicio del Sprint 2.</x:v>
      </x:c>
      <x:c r="K7" s="30" t="str">
        <x:v>Fin</x:v>
      </x:c>
      <x:c r="L7" s="53" t="d">
        <x:v>2026-10-12T12:00:00.000Z</x:v>
      </x:c>
      <x:c r="V7" t="str">
        <x:v>29/09</x:v>
      </x:c>
      <x:c r="W7" t="n">
        <x:f>H7</x:f>
        <x:v>81</x:v>
      </x:c>
      <x:c r="X7" t="n">
        <x:f>I7</x:f>
        <x:v>82</x:v>
      </x:c>
    </x:row>
    <x:row r="8">
      <x:c r="A8" s="36" t="d">
        <x:v>2026-09-30T12:00:00.000Z</x:v>
      </x:c>
      <x:c r="B8" s="31" t="str">
        <x:v>miércoles</x:v>
      </x:c>
      <x:c r="C8" s="39" t="n">
        <x:f>IF(WEEKDAY(A8,2)&lt;=5,$L$10,0)</x:f>
        <x:v>9</x:v>
      </x:c>
      <x:c r="D8" s="41" t="n">
        <x:v>0</x:v>
      </x:c>
      <x:c r="E8" s="41" t="n">
        <x:v>10</x:v>
      </x:c>
      <x:c r="F8" s="44" t="n">
        <x:f>F7+C8</x:f>
        <x:v>18</x:v>
      </x:c>
      <x:c r="G8" s="44" t="n">
        <x:f>IF(ISBLANK(E8),"",G7+E8)</x:f>
        <x:v>18</x:v>
      </x:c>
      <x:c r="H8" s="47" t="n">
        <x:f>MAX(0,$L$12-F8)</x:f>
        <x:v>72</x:v>
      </x:c>
      <x:c r="I8" s="47" t="n">
        <x:f>IF(ISBLANK(E8),"",MAX(0,I7+D8-E8))</x:f>
        <x:v>72</x:v>
      </x:c>
      <x:c r="J8" s="50" t="str">
        <x:v>Avance en cuenta y autenticación.</x:v>
      </x:c>
      <x:c r="K8" s="30" t="str">
        <x:v>Integrantes</x:v>
      </x:c>
      <x:c r="L8" s="55" t="n">
        <x:v>3</x:v>
      </x:c>
      <x:c r="V8" t="str">
        <x:v>30/09</x:v>
      </x:c>
      <x:c r="W8" t="n">
        <x:f>H8</x:f>
        <x:v>72</x:v>
      </x:c>
      <x:c r="X8" t="n">
        <x:f>I8</x:f>
        <x:v>72</x:v>
      </x:c>
    </x:row>
    <x:row r="9">
      <x:c r="A9" s="36" t="d">
        <x:v>2026-10-01T12:00:00.000Z</x:v>
      </x:c>
      <x:c r="B9" s="31" t="str">
        <x:v>jueves</x:v>
      </x:c>
      <x:c r="C9" s="39" t="n">
        <x:f>IF(WEEKDAY(A9,2)&lt;=5,$L$10,0)</x:f>
        <x:v>9</x:v>
      </x:c>
      <x:c r="D9" s="41" t="n">
        <x:v>10</x:v>
      </x:c>
      <x:c r="E9" s="41" t="n">
        <x:v>7</x:v>
      </x:c>
      <x:c r="F9" s="44" t="n">
        <x:f>F8+C9</x:f>
        <x:v>27</x:v>
      </x:c>
      <x:c r="G9" s="44" t="n">
        <x:f>IF(ISBLANK(E9),"",G8+E9)</x:f>
        <x:v>25</x:v>
      </x:c>
      <x:c r="H9" s="47" t="n">
        <x:f>MAX(0,$L$12-F9)</x:f>
        <x:v>63</x:v>
      </x:c>
      <x:c r="I9" s="47" t="n">
        <x:f>IF(ISBLANK(E9),"",MAX(0,I8+D9-E9))</x:f>
        <x:v>75</x:v>
      </x:c>
      <x:c r="J9" s="50" t="str">
        <x:v>Reestimación de carrito y recuperación de contraseña.</x:v>
      </x:c>
      <x:c r="K9" s="30" t="str">
        <x:v>Horas por persona</x:v>
      </x:c>
      <x:c r="L9" s="55" t="n">
        <x:v>3</x:v>
      </x:c>
      <x:c r="V9" t="str">
        <x:v>01/10</x:v>
      </x:c>
      <x:c r="W9" t="n">
        <x:f>H9</x:f>
        <x:v>63</x:v>
      </x:c>
      <x:c r="X9" t="n">
        <x:f>I9</x:f>
        <x:v>75</x:v>
      </x:c>
    </x:row>
    <x:row r="10">
      <x:c r="A10" s="36" t="d">
        <x:v>2026-10-02T12:00:00.000Z</x:v>
      </x:c>
      <x:c r="B10" s="31" t="str">
        <x:v>viernes</x:v>
      </x:c>
      <x:c r="C10" s="39" t="n">
        <x:f>IF(WEEKDAY(A10,2)&lt;=5,$L$10,0)</x:f>
        <x:v>9</x:v>
      </x:c>
      <x:c r="D10" s="41" t="n">
        <x:v>0</x:v>
      </x:c>
      <x:c r="E10" s="41" t="n">
        <x:v>9</x:v>
      </x:c>
      <x:c r="F10" s="44" t="n">
        <x:f>F9+C10</x:f>
        <x:v>36</x:v>
      </x:c>
      <x:c r="G10" s="44" t="n">
        <x:f>IF(ISBLANK(E10),"",G9+E10)</x:f>
        <x:v>34</x:v>
      </x:c>
      <x:c r="H10" s="47" t="n">
        <x:f>MAX(0,$L$12-F10)</x:f>
        <x:v>54</x:v>
      </x:c>
      <x:c r="I10" s="47" t="n">
        <x:f>IF(ISBLANK(E10),"",MAX(0,I9+D10-E10))</x:f>
        <x:v>66</x:v>
      </x:c>
      <x:c r="J10" s="50" t="str">
        <x:v>Avance en funcionalidades comprometidas.</x:v>
      </x:c>
      <x:c r="K10" s="30" t="str">
        <x:v>Horas-equipo/día</x:v>
      </x:c>
      <x:c r="L10" s="55" t="n">
        <x:f>L8*L9</x:f>
        <x:v>9</x:v>
      </x:c>
      <x:c r="V10" t="str">
        <x:v>02/10</x:v>
      </x:c>
      <x:c r="W10" t="n">
        <x:f>H10</x:f>
        <x:v>54</x:v>
      </x:c>
      <x:c r="X10" t="n">
        <x:f>I10</x:f>
        <x:v>66</x:v>
      </x:c>
    </x:row>
    <x:row r="11">
      <x:c r="A11" s="36" t="d">
        <x:v>2026-10-03T12:00:00.000Z</x:v>
      </x:c>
      <x:c r="B11" s="31" t="str">
        <x:v>sábado</x:v>
      </x:c>
      <x:c r="C11" s="39" t="n">
        <x:f>IF(WEEKDAY(A11,2)&lt;=5,$L$10,0)</x:f>
        <x:v>0</x:v>
      </x:c>
      <x:c r="D11" s="41" t="n">
        <x:v>0</x:v>
      </x:c>
      <x:c r="E11" s="41" t="n">
        <x:v>0</x:v>
      </x:c>
      <x:c r="F11" s="44" t="n">
        <x:f>F10+C11</x:f>
        <x:v>36</x:v>
      </x:c>
      <x:c r="G11" s="44" t="n">
        <x:f>IF(ISBLANK(E11),"",G10+E11)</x:f>
        <x:v>34</x:v>
      </x:c>
      <x:c r="H11" s="47" t="n">
        <x:f>MAX(0,$L$12-F11)</x:f>
        <x:v>54</x:v>
      </x:c>
      <x:c r="I11" s="47" t="n">
        <x:f>IF(ISBLANK(E11),"",MAX(0,I10+D11-E11))</x:f>
        <x:v>66</x:v>
      </x:c>
      <x:c r="J11" s="50" t="str">
        <x:v>Fin de semana.</x:v>
      </x:c>
      <x:c r="K11" s="30" t="str">
        <x:v>Jornadas hábiles</x:v>
      </x:c>
      <x:c r="L11" s="55" t="n">
        <x:v>10</x:v>
      </x:c>
      <x:c r="V11" t="str">
        <x:v>03/10</x:v>
      </x:c>
      <x:c r="W11" t="n">
        <x:f>H11</x:f>
        <x:v>54</x:v>
      </x:c>
      <x:c r="X11" t="n">
        <x:f>I11</x:f>
        <x:v>66</x:v>
      </x:c>
    </x:row>
    <x:row r="12">
      <x:c r="A12" s="36" t="d">
        <x:v>2026-10-04T12:00:00.000Z</x:v>
      </x:c>
      <x:c r="B12" s="31" t="str">
        <x:v>domingo</x:v>
      </x:c>
      <x:c r="C12" s="39" t="n">
        <x:f>IF(WEEKDAY(A12,2)&lt;=5,$L$10,0)</x:f>
        <x:v>0</x:v>
      </x:c>
      <x:c r="D12" s="41" t="n">
        <x:v>0</x:v>
      </x:c>
      <x:c r="E12" s="41" t="n">
        <x:v>0</x:v>
      </x:c>
      <x:c r="F12" s="44" t="n">
        <x:f>F11+C12</x:f>
        <x:v>36</x:v>
      </x:c>
      <x:c r="G12" s="44" t="n">
        <x:f>IF(ISBLANK(E12),"",G11+E12)</x:f>
        <x:v>34</x:v>
      </x:c>
      <x:c r="H12" s="47" t="n">
        <x:f>MAX(0,$L$12-F12)</x:f>
        <x:v>54</x:v>
      </x:c>
      <x:c r="I12" s="47" t="n">
        <x:f>IF(ISBLANK(E12),"",MAX(0,I11+D12-E12))</x:f>
        <x:v>66</x:v>
      </x:c>
      <x:c r="J12" s="50" t="str">
        <x:v>Fin de semana.</x:v>
      </x:c>
      <x:c r="K12" s="33" t="str">
        <x:v>Capacidad inicial</x:v>
      </x:c>
      <x:c r="L12" s="56" t="n">
        <x:f>L10*L11</x:f>
        <x:v>90</x:v>
      </x:c>
      <x:c r="V12" t="str">
        <x:v>04/10</x:v>
      </x:c>
      <x:c r="W12" t="n">
        <x:f>H12</x:f>
        <x:v>54</x:v>
      </x:c>
      <x:c r="X12" t="n">
        <x:f>I12</x:f>
        <x:v>66</x:v>
      </x:c>
    </x:row>
    <x:row r="13">
      <x:c r="A13" s="36" t="d">
        <x:v>2026-10-05T12:00:00.000Z</x:v>
      </x:c>
      <x:c r="B13" s="31" t="str">
        <x:v>lunes</x:v>
      </x:c>
      <x:c r="C13" s="39" t="n">
        <x:f>IF(WEEKDAY(A13,2)&lt;=5,$L$10,0)</x:f>
        <x:v>9</x:v>
      </x:c>
      <x:c r="D13" s="41" t="n">
        <x:v>0</x:v>
      </x:c>
      <x:c r="E13" s="41" t="n">
        <x:v>5</x:v>
      </x:c>
      <x:c r="F13" s="44" t="n">
        <x:f>F12+C13</x:f>
        <x:v>45</x:v>
      </x:c>
      <x:c r="G13" s="44" t="n">
        <x:f>IF(ISBLANK(E13),"",G12+E13)</x:f>
        <x:v>39</x:v>
      </x:c>
      <x:c r="H13" s="47" t="n">
        <x:f>MAX(0,$L$12-F13)</x:f>
        <x:v>45</x:v>
      </x:c>
      <x:c r="I13" s="47" t="n">
        <x:f>IF(ISBLANK(E13),"",MAX(0,I12+D13-E13))</x:f>
        <x:v>61</x:v>
      </x:c>
      <x:c r="J13" s="50" t="str">
        <x:v>Corte actual: jornada en desarrollo.</x:v>
      </x:c>
      <x:c r="V13" t="str">
        <x:v>05/10</x:v>
      </x:c>
      <x:c r="W13" t="n">
        <x:f>H13</x:f>
        <x:v>45</x:v>
      </x:c>
      <x:c r="X13" t="n">
        <x:f>I13</x:f>
        <x:v>61</x:v>
      </x:c>
    </x:row>
    <x:row r="14">
      <x:c r="A14" s="36" t="d">
        <x:v>2026-10-06T12:00:00.000Z</x:v>
      </x:c>
      <x:c r="B14" s="31" t="str">
        <x:v>martes</x:v>
      </x:c>
      <x:c r="C14" s="39" t="n">
        <x:f>IF(WEEKDAY(A14,2)&lt;=5,$L$10,0)</x:f>
        <x:v>9</x:v>
      </x:c>
      <x:c r="D14" s="41"/>
      <x:c r="E14" s="41"/>
      <x:c r="F14" s="44" t="n">
        <x:f>F13+C14</x:f>
        <x:v>54</x:v>
      </x:c>
      <x:c r="G14" s="44" t="str">
        <x:f>IF(ISBLANK(E14),"",G13+E14)</x:f>
      </x:c>
      <x:c r="H14" s="47" t="n">
        <x:f>MAX(0,$L$12-F14)</x:f>
        <x:v>36</x:v>
      </x:c>
      <x:c r="I14" s="47" t="str">
        <x:f>IF(ISBLANK(E14),"",MAX(0,I13+D14-E14))</x:f>
      </x:c>
      <x:c r="J14" s="50" t="str">
        <x:v>Fecha futura: sin avance real registrado.</x:v>
      </x:c>
      <x:c r="V14" t="str">
        <x:v>06/10</x:v>
      </x:c>
      <x:c r="W14" t="n">
        <x:f>H14</x:f>
        <x:v>36</x:v>
      </x:c>
      <x:c r="X14" t="str">
        <x:f>I14</x:f>
      </x:c>
    </x:row>
    <x:row r="15">
      <x:c r="A15" s="36" t="d">
        <x:v>2026-10-07T12:00:00.000Z</x:v>
      </x:c>
      <x:c r="B15" s="31" t="str">
        <x:v>miércoles</x:v>
      </x:c>
      <x:c r="C15" s="39" t="n">
        <x:f>IF(WEEKDAY(A15,2)&lt;=5,$L$10,0)</x:f>
        <x:v>9</x:v>
      </x:c>
      <x:c r="D15" s="41"/>
      <x:c r="E15" s="41"/>
      <x:c r="F15" s="44" t="n">
        <x:f>F14+C15</x:f>
        <x:v>63</x:v>
      </x:c>
      <x:c r="G15" s="44" t="str">
        <x:f>IF(ISBLANK(E15),"",G14+E15)</x:f>
      </x:c>
      <x:c r="H15" s="47" t="n">
        <x:f>MAX(0,$L$12-F15)</x:f>
        <x:v>27</x:v>
      </x:c>
      <x:c r="I15" s="47" t="str">
        <x:f>IF(ISBLANK(E15),"",MAX(0,I14+D15-E15))</x:f>
      </x:c>
      <x:c r="J15" s="50" t="str">
        <x:v>Fecha futura: sin avance real registrado.</x:v>
      </x:c>
      <x:c r="V15" t="str">
        <x:v>07/10</x:v>
      </x:c>
      <x:c r="W15" t="n">
        <x:f>H15</x:f>
        <x:v>27</x:v>
      </x:c>
      <x:c r="X15" t="str">
        <x:f>I15</x:f>
      </x:c>
    </x:row>
    <x:row r="16">
      <x:c r="A16" s="36" t="d">
        <x:v>2026-10-08T12:00:00.000Z</x:v>
      </x:c>
      <x:c r="B16" s="31" t="str">
        <x:v>jueves</x:v>
      </x:c>
      <x:c r="C16" s="39" t="n">
        <x:f>IF(WEEKDAY(A16,2)&lt;=5,$L$10,0)</x:f>
        <x:v>9</x:v>
      </x:c>
      <x:c r="D16" s="41"/>
      <x:c r="E16" s="41"/>
      <x:c r="F16" s="44" t="n">
        <x:f>F15+C16</x:f>
        <x:v>72</x:v>
      </x:c>
      <x:c r="G16" s="44" t="str">
        <x:f>IF(ISBLANK(E16),"",G15+E16)</x:f>
      </x:c>
      <x:c r="H16" s="47" t="n">
        <x:f>MAX(0,$L$12-F16)</x:f>
        <x:v>18</x:v>
      </x:c>
      <x:c r="I16" s="47" t="str">
        <x:f>IF(ISBLANK(E16),"",MAX(0,I15+D16-E16))</x:f>
      </x:c>
      <x:c r="J16" s="50" t="str">
        <x:v>Fecha futura: sin avance real registrado.</x:v>
      </x:c>
      <x:c r="V16" t="str">
        <x:v>08/10</x:v>
      </x:c>
      <x:c r="W16" t="n">
        <x:f>H16</x:f>
        <x:v>18</x:v>
      </x:c>
      <x:c r="X16" t="str">
        <x:f>I16</x:f>
      </x:c>
    </x:row>
    <x:row r="17">
      <x:c r="A17" s="36" t="d">
        <x:v>2026-10-09T12:00:00.000Z</x:v>
      </x:c>
      <x:c r="B17" s="31" t="str">
        <x:v>viernes</x:v>
      </x:c>
      <x:c r="C17" s="39" t="n">
        <x:f>IF(WEEKDAY(A17,2)&lt;=5,$L$10,0)</x:f>
        <x:v>9</x:v>
      </x:c>
      <x:c r="D17" s="41"/>
      <x:c r="E17" s="41"/>
      <x:c r="F17" s="44" t="n">
        <x:f>F16+C17</x:f>
        <x:v>81</x:v>
      </x:c>
      <x:c r="G17" s="44" t="str">
        <x:f>IF(ISBLANK(E17),"",G16+E17)</x:f>
      </x:c>
      <x:c r="H17" s="47" t="n">
        <x:f>MAX(0,$L$12-F17)</x:f>
        <x:v>9</x:v>
      </x:c>
      <x:c r="I17" s="47" t="str">
        <x:f>IF(ISBLANK(E17),"",MAX(0,I16+D17-E17))</x:f>
      </x:c>
      <x:c r="J17" s="50" t="str">
        <x:v>Fecha futura: sin avance real registrado.</x:v>
      </x:c>
      <x:c r="V17" t="str">
        <x:v>09/10</x:v>
      </x:c>
      <x:c r="W17" t="n">
        <x:f>H17</x:f>
        <x:v>9</x:v>
      </x:c>
      <x:c r="X17" t="str">
        <x:f>I17</x:f>
      </x:c>
    </x:row>
    <x:row r="18">
      <x:c r="A18" s="36" t="d">
        <x:v>2026-10-10T12:00:00.000Z</x:v>
      </x:c>
      <x:c r="B18" s="31" t="str">
        <x:v>sábado</x:v>
      </x:c>
      <x:c r="C18" s="39" t="n">
        <x:f>IF(WEEKDAY(A18,2)&lt;=5,$L$10,0)</x:f>
        <x:v>0</x:v>
      </x:c>
      <x:c r="D18" s="41"/>
      <x:c r="E18" s="41"/>
      <x:c r="F18" s="44" t="n">
        <x:f>F17+C18</x:f>
        <x:v>81</x:v>
      </x:c>
      <x:c r="G18" s="44" t="str">
        <x:f>IF(ISBLANK(E18),"",G17+E18)</x:f>
      </x:c>
      <x:c r="H18" s="47" t="n">
        <x:f>MAX(0,$L$12-F18)</x:f>
        <x:v>9</x:v>
      </x:c>
      <x:c r="I18" s="47" t="str">
        <x:f>IF(ISBLANK(E18),"",MAX(0,I17+D18-E18))</x:f>
      </x:c>
      <x:c r="J18" s="50" t="str">
        <x:v>Fecha futura: sin avance real registrado.</x:v>
      </x:c>
      <x:c r="V18" t="str">
        <x:v>10/10</x:v>
      </x:c>
      <x:c r="W18" t="n">
        <x:f>H18</x:f>
        <x:v>9</x:v>
      </x:c>
      <x:c r="X18" t="str">
        <x:f>I18</x:f>
      </x:c>
    </x:row>
    <x:row r="19">
      <x:c r="A19" s="36" t="d">
        <x:v>2026-10-11T12:00:00.000Z</x:v>
      </x:c>
      <x:c r="B19" s="31" t="str">
        <x:v>domingo</x:v>
      </x:c>
      <x:c r="C19" s="39" t="n">
        <x:f>IF(WEEKDAY(A19,2)&lt;=5,$L$10,0)</x:f>
        <x:v>0</x:v>
      </x:c>
      <x:c r="D19" s="41"/>
      <x:c r="E19" s="41"/>
      <x:c r="F19" s="44" t="n">
        <x:f>F18+C19</x:f>
        <x:v>81</x:v>
      </x:c>
      <x:c r="G19" s="44" t="str">
        <x:f>IF(ISBLANK(E19),"",G18+E19)</x:f>
      </x:c>
      <x:c r="H19" s="47" t="n">
        <x:f>MAX(0,$L$12-F19)</x:f>
        <x:v>9</x:v>
      </x:c>
      <x:c r="I19" s="47" t="str">
        <x:f>IF(ISBLANK(E19),"",MAX(0,I18+D19-E19))</x:f>
      </x:c>
      <x:c r="J19" s="50" t="str">
        <x:v>Fecha futura: sin avance real registrado.</x:v>
      </x:c>
      <x:c r="V19" t="str">
        <x:v>11/10</x:v>
      </x:c>
      <x:c r="W19" t="n">
        <x:f>H19</x:f>
        <x:v>9</x:v>
      </x:c>
      <x:c r="X19" t="str">
        <x:f>I19</x:f>
      </x:c>
    </x:row>
    <x:row r="20">
      <x:c r="A20" s="37" t="d">
        <x:v>2026-10-12T12:00:00.000Z</x:v>
      </x:c>
      <x:c r="B20" s="34" t="str">
        <x:v>lunes</x:v>
      </x:c>
      <x:c r="C20" s="40" t="n">
        <x:f>IF(WEEKDAY(A20,2)&lt;=5,$L$10,0)</x:f>
        <x:v>9</x:v>
      </x:c>
      <x:c r="D20" s="42"/>
      <x:c r="E20" s="42"/>
      <x:c r="F20" s="45" t="n">
        <x:f>F19+C20</x:f>
        <x:v>90</x:v>
      </x:c>
      <x:c r="G20" s="45" t="str">
        <x:f>IF(ISBLANK(E20),"",G19+E20)</x:f>
      </x:c>
      <x:c r="H20" s="48" t="n">
        <x:f>MAX(0,$L$12-F20)</x:f>
        <x:v>0</x:v>
      </x:c>
      <x:c r="I20" s="48" t="str">
        <x:f>IF(ISBLANK(E20),"",MAX(0,I19+D20-E20))</x:f>
      </x:c>
      <x:c r="J20" s="51" t="str">
        <x:v>Fecha futura: sin avance real registrado.</x:v>
      </x:c>
      <x:c r="V20" t="str">
        <x:v>12/10</x:v>
      </x:c>
      <x:c r="W20" t="n">
        <x:f>H20</x:f>
        <x:v>0</x:v>
      </x:c>
      <x:c r="X20" t="n">
        <x:f>I20</x:f>
        <x:v>0</x:v>
      </x:c>
    </x:row>
    <x:row r="24" ht="34" customHeight="1">
      <x:c r="A24" s="14" t="str">
        <x:v>Uso de la tabla</x:v>
      </x:c>
      <x:c r="B24" s="15"/>
      <x:c r="C24" s="15"/>
      <x:c r="D24" s="15"/>
      <x:c r="E24" s="15"/>
      <x:c r="F24" s="15"/>
      <x:c r="G24" s="15"/>
      <x:c r="H24" s="15"/>
      <x:c r="I24" s="15"/>
      <x:c r="J24" s="16"/>
    </x:row>
    <x:row r="25">
      <x:c r="A25" s="60" t="str">
        <x:v>Actualice únicamente las celdas amarillas de Trabajo agregado y Trabajo real completado. Las columnas acumuladas, los saldos restantes y el gráfico de la hoja siguiente se recalculan automáticamente.</x:v>
      </x:c>
      <x:c r="B25" s="60"/>
      <x:c r="C25" s="60"/>
      <x:c r="D25" s="60"/>
      <x:c r="E25" s="60"/>
      <x:c r="F25" s="60"/>
      <x:c r="G25" s="60"/>
      <x:c r="H25" s="60"/>
      <x:c r="I25" s="60"/>
      <x:c r="J25" s="60"/>
    </x:row>
    <x:row r="26">
      <x:c r="A26" s="60"/>
      <x:c r="B26" s="60"/>
      <x:c r="C26" s="60"/>
      <x:c r="D26" s="60"/>
      <x:c r="E26" s="60"/>
      <x:c r="F26" s="60"/>
      <x:c r="G26" s="60"/>
      <x:c r="H26" s="60"/>
      <x:c r="I26" s="60"/>
      <x:c r="J26" s="60"/>
    </x:row>
    <x:row r="27">
      <x:c r="A27" s="60"/>
      <x:c r="B27" s="60"/>
      <x:c r="C27" s="60"/>
      <x:c r="D27" s="60"/>
      <x:c r="E27" s="60"/>
      <x:c r="F27" s="60"/>
      <x:c r="G27" s="60"/>
      <x:c r="H27" s="60"/>
      <x:c r="I27" s="60"/>
      <x:c r="J27" s="60"/>
    </x:row>
  </x:sheetData>
  <x:mergeCells>
    <x:mergeCell ref="A2:L2"/>
    <x:mergeCell ref="A3:L3"/>
    <x:mergeCell ref="A24:J24"/>
    <x:mergeCell ref="A25:J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F75B5"/>
  </x:sheetPr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</x:cols>
  <x:sheetData>
    <x:row r="2" ht="28" customHeight="1">
      <x:c r="A2" s="1" t="str">
        <x:v>Sprint 2 — Burndown Chart</x:v>
      </x:c>
    </x:row>
    <x:row r="3" ht="21" customHeight="1">
      <x:c r="A3" s="2" t="str">
        <x:v>Cuenta y Carrito. En curso al 05/10/2026. Unidad: horas-equipo restantes.</x:v>
      </x:c>
    </x:row>
    <x:row r="5">
      <x:c r="X5" t="str">
        <x:v>Fecha</x:v>
      </x:c>
      <x:c r="Y5" t="str">
        <x:v>Ideal restante</x:v>
      </x:c>
      <x:c r="Z5" t="str">
        <x:v>Real restante</x:v>
      </x:c>
    </x:row>
    <x:row r="6">
      <x:c r="X6" t="str">
        <x:v>Inicio</x:v>
      </x:c>
      <x:c r="Y6" t="n">
        <x:f>'Sprint 2 - Tabla'!H6</x:f>
        <x:v>90</x:v>
      </x:c>
      <x:c r="Z6" t="n">
        <x:f>'Sprint 2 - Tabla'!I6</x:f>
        <x:v>90</x:v>
      </x:c>
    </x:row>
    <x:row r="7">
      <x:c r="X7" t="str">
        <x:v>29/09</x:v>
      </x:c>
      <x:c r="Y7" t="n">
        <x:f>'Sprint 2 - Tabla'!H7</x:f>
        <x:v>81</x:v>
      </x:c>
      <x:c r="Z7" t="n">
        <x:f>IF(ISBLANK('Sprint 2 - Tabla'!E7),"",'Sprint 2 - Tabla'!I7)</x:f>
        <x:v>82</x:v>
      </x:c>
    </x:row>
    <x:row r="8">
      <x:c r="X8" t="str">
        <x:v>30/09</x:v>
      </x:c>
      <x:c r="Y8" t="n">
        <x:f>'Sprint 2 - Tabla'!H8</x:f>
        <x:v>72</x:v>
      </x:c>
      <x:c r="Z8" t="n">
        <x:f>IF(ISBLANK('Sprint 2 - Tabla'!E8),"",'Sprint 2 - Tabla'!I8)</x:f>
        <x:v>72</x:v>
      </x:c>
    </x:row>
    <x:row r="9">
      <x:c r="X9" t="str">
        <x:v>01/10</x:v>
      </x:c>
      <x:c r="Y9" t="n">
        <x:f>'Sprint 2 - Tabla'!H9</x:f>
        <x:v>63</x:v>
      </x:c>
      <x:c r="Z9" t="n">
        <x:f>IF(ISBLANK('Sprint 2 - Tabla'!E9),"",'Sprint 2 - Tabla'!I9)</x:f>
        <x:v>75</x:v>
      </x:c>
    </x:row>
    <x:row r="10">
      <x:c r="X10" t="str">
        <x:v>02/10</x:v>
      </x:c>
      <x:c r="Y10" t="n">
        <x:f>'Sprint 2 - Tabla'!H10</x:f>
        <x:v>54</x:v>
      </x:c>
      <x:c r="Z10" t="n">
        <x:f>IF(ISBLANK('Sprint 2 - Tabla'!E10),"",'Sprint 2 - Tabla'!I10)</x:f>
        <x:v>66</x:v>
      </x:c>
    </x:row>
    <x:row r="11">
      <x:c r="X11" t="str">
        <x:v>03/10</x:v>
      </x:c>
      <x:c r="Y11" t="n">
        <x:f>'Sprint 2 - Tabla'!H11</x:f>
        <x:v>54</x:v>
      </x:c>
      <x:c r="Z11" t="n">
        <x:f>IF(ISBLANK('Sprint 2 - Tabla'!E11),"",'Sprint 2 - Tabla'!I11)</x:f>
        <x:v>66</x:v>
      </x:c>
    </x:row>
    <x:row r="12">
      <x:c r="X12" t="str">
        <x:v>04/10</x:v>
      </x:c>
      <x:c r="Y12" t="n">
        <x:f>'Sprint 2 - Tabla'!H12</x:f>
        <x:v>54</x:v>
      </x:c>
      <x:c r="Z12" t="n">
        <x:f>IF(ISBLANK('Sprint 2 - Tabla'!E12),"",'Sprint 2 - Tabla'!I12)</x:f>
        <x:v>66</x:v>
      </x:c>
    </x:row>
    <x:row r="13">
      <x:c r="X13" t="str">
        <x:v>05/10</x:v>
      </x:c>
      <x:c r="Y13" t="n">
        <x:f>'Sprint 2 - Tabla'!H13</x:f>
        <x:v>45</x:v>
      </x:c>
      <x:c r="Z13" t="n">
        <x:f>IF(ISBLANK('Sprint 2 - Tabla'!E13),"",'Sprint 2 - Tabla'!I13)</x:f>
        <x:v>61</x:v>
      </x:c>
    </x:row>
    <x:row r="14">
      <x:c r="X14" t="str">
        <x:v>06/10</x:v>
      </x:c>
      <x:c r="Y14" t="n">
        <x:f>'Sprint 2 - Tabla'!H14</x:f>
        <x:v>36</x:v>
      </x:c>
      <x:c r="Z14" t="str">
        <x:f>IF(ISBLANK('Sprint 2 - Tabla'!E14),"",'Sprint 2 - Tabla'!I14)</x:f>
      </x:c>
    </x:row>
    <x:row r="15">
      <x:c r="X15" t="str">
        <x:v>07/10</x:v>
      </x:c>
      <x:c r="Y15" t="n">
        <x:f>'Sprint 2 - Tabla'!H15</x:f>
        <x:v>27</x:v>
      </x:c>
      <x:c r="Z15" t="str">
        <x:f>IF(ISBLANK('Sprint 2 - Tabla'!E15),"",'Sprint 2 - Tabla'!I15)</x:f>
      </x:c>
    </x:row>
    <x:row r="16">
      <x:c r="X16" t="str">
        <x:v>08/10</x:v>
      </x:c>
      <x:c r="Y16" t="n">
        <x:f>'Sprint 2 - Tabla'!H16</x:f>
        <x:v>18</x:v>
      </x:c>
      <x:c r="Z16" t="str">
        <x:f>IF(ISBLANK('Sprint 2 - Tabla'!E16),"",'Sprint 2 - Tabla'!I16)</x:f>
      </x:c>
    </x:row>
    <x:row r="17">
      <x:c r="X17" t="str">
        <x:v>09/10</x:v>
      </x:c>
      <x:c r="Y17" t="n">
        <x:f>'Sprint 2 - Tabla'!H17</x:f>
        <x:v>9</x:v>
      </x:c>
      <x:c r="Z17" t="str">
        <x:f>IF(ISBLANK('Sprint 2 - Tabla'!E17),"",'Sprint 2 - Tabla'!I17)</x:f>
      </x:c>
    </x:row>
    <x:row r="18">
      <x:c r="X18" t="str">
        <x:v>10/10</x:v>
      </x:c>
      <x:c r="Y18" t="n">
        <x:f>'Sprint 2 - Tabla'!H18</x:f>
        <x:v>9</x:v>
      </x:c>
      <x:c r="Z18" t="str">
        <x:f>IF(ISBLANK('Sprint 2 - Tabla'!E18),"",'Sprint 2 - Tabla'!I18)</x:f>
      </x:c>
    </x:row>
    <x:row r="19">
      <x:c r="X19" t="str">
        <x:v>11/10</x:v>
      </x:c>
      <x:c r="Y19" t="n">
        <x:f>'Sprint 2 - Tabla'!H19</x:f>
        <x:v>9</x:v>
      </x:c>
      <x:c r="Z19" t="str">
        <x:f>IF(ISBLANK('Sprint 2 - Tabla'!E19),"",'Sprint 2 - Tabla'!I19)</x:f>
      </x:c>
    </x:row>
    <x:row r="20">
      <x:c r="X20" t="str">
        <x:v>12/10</x:v>
      </x:c>
      <x:c r="Y20" t="n">
        <x:f>'Sprint 2 - Tabla'!H20</x:f>
        <x:v>0</x:v>
      </x:c>
      <x:c r="Z20" t="str">
        <x:f>IF(ISBLANK('Sprint 2 - Tabla'!E20),"",'Sprint 2 - Tabla'!I20)</x:f>
      </x:c>
    </x:row>
  </x:sheetData>
  <x:mergeCells>
    <x:mergeCell ref="A2:Q2"/>
    <x:mergeCell ref="A3:Q3"/>
  </x:mergeCells>
  <x:pageMargins left="0.7" right="0.7" top="0.75" bottom="0.75" header="0.3" footer="0.3"/>
  <x:drawing xmlns:r="http://schemas.openxmlformats.org/officeDocument/2006/relationships" r:id="R4cf2a7f1da64447a"/>
</x:worksheet>
</file>

<file path=xl/worksheets/sheet5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34" hidden="0" customWidth="1"/>
    <x:col min="4" max="4" width="38" hidden="0" customWidth="1"/>
    <x:col min="5" max="5" width="16" hidden="0" customWidth="1"/>
    <x:col min="6" max="6" width="42" hidden="0" customWidth="1"/>
    <x:col min="8" max="8" width="13" hidden="0" customWidth="1"/>
    <x:col min="9" max="9" width="17" hidden="0" customWidth="1"/>
    <x:col min="10" max="10" width="17" hidden="0" customWidth="1"/>
    <x:col min="11" max="11" width="20" hidden="0" customWidth="1"/>
    <x:col min="12" max="12" width="15" hidden="0" customWidth="1"/>
    <x:col min="13" max="13" width="38" hidden="0" customWidth="1"/>
  </x:cols>
  <x:sheetData>
    <x:row r="2" ht="28" customHeight="1">
      <x:c r="A2" s="1" t="str">
        <x:v>Guía de fórmulas y construcción del Burndown Chart</x:v>
      </x:c>
    </x:row>
    <x:row r="3" ht="21" customHeight="1">
      <x:c r="A3" s="2" t="str">
        <x:v>Aplicación para Todo Freak Store. Fórmulas en español para copiar directamente en Excel.</x:v>
      </x:c>
    </x:row>
    <x:row r="5" ht="34" customHeight="1">
      <x:c r="A5" s="14" t="str">
        <x:v>Elemento</x:v>
      </x:c>
      <x:c r="B5" s="15" t="str">
        <x:v>Ubicación sugerida</x:v>
      </x:c>
      <x:c r="C5" s="15" t="str">
        <x:v>Fórmula en Excel</x:v>
      </x:c>
      <x:c r="D5" s="15" t="str">
        <x:v>Qué calcula</x:v>
      </x:c>
      <x:c r="E5" s="15" t="str">
        <x:v>Tipo</x:v>
      </x:c>
      <x:c r="F5" s="16" t="str">
        <x:v>Uso</x:v>
      </x:c>
      <x:c r="H5" s="14" t="str">
        <x:v>Ejemplo del efecto serrucho</x:v>
      </x:c>
      <x:c r="I5" s="15"/>
      <x:c r="J5" s="15"/>
      <x:c r="K5" s="15"/>
      <x:c r="L5" s="15"/>
      <x:c r="M5" s="16"/>
    </x:row>
    <x:row r="6" ht="34" customHeight="1">
      <x:c r="A6" s="68" t="str">
        <x:v>Horas-equipo por día</x:v>
      </x:c>
      <x:c r="B6" s="69" t="str">
        <x:v>L10</x:v>
      </x:c>
      <x:c r="C6" s="70" t="str">
        <x:v>=L8*L9</x:v>
      </x:c>
      <x:c r="D6" s="69" t="str">
        <x:v>Integrantes × horas por persona.</x:v>
      </x:c>
      <x:c r="E6" s="69" t="str">
        <x:v>Cálculo</x:v>
      </x:c>
      <x:c r="F6" s="49" t="str">
        <x:v>Define el ritmo diario del equipo.</x:v>
      </x:c>
      <x:c r="H6" s="14" t="str">
        <x:v>Día</x:v>
      </x:c>
      <x:c r="I6" s="15" t="str">
        <x:v>Saldo anterior</x:v>
      </x:c>
      <x:c r="J6" s="15" t="str">
        <x:v>Trabajo agregado</x:v>
      </x:c>
      <x:c r="K6" s="15" t="str">
        <x:v>Trabajo completado</x:v>
      </x:c>
      <x:c r="L6" s="15" t="str">
        <x:v>Nuevo saldo</x:v>
      </x:c>
      <x:c r="M6" s="16" t="str">
        <x:v>Lectura</x:v>
      </x:c>
    </x:row>
    <x:row r="7">
      <x:c r="A7" s="71" t="str">
        <x:v>Capacidad inicial</x:v>
      </x:c>
      <x:c r="B7" s="72" t="str">
        <x:v>L12</x:v>
      </x:c>
      <x:c r="C7" s="73" t="str">
        <x:v>=L10*L11</x:v>
      </x:c>
      <x:c r="D7" s="72" t="str">
        <x:v>Horas-equipo diarias × jornadas hábiles.</x:v>
      </x:c>
      <x:c r="E7" s="72" t="str">
        <x:v>Cálculo</x:v>
      </x:c>
      <x:c r="F7" s="50" t="str">
        <x:v>Punto inicial del burndown.</x:v>
      </x:c>
      <x:c r="H7" s="27" t="str">
        <x:v>Inicio</x:v>
      </x:c>
      <x:c r="I7" s="28" t="n">
        <x:v>90</x:v>
      </x:c>
      <x:c r="J7" s="28" t="n">
        <x:v>0</x:v>
      </x:c>
      <x:c r="K7" s="28" t="n">
        <x:v>0</x:v>
      </x:c>
      <x:c r="L7" s="28" t="n">
        <x:v>90</x:v>
      </x:c>
      <x:c r="M7" s="29" t="str">
        <x:v>Inicio del sprint.</x:v>
      </x:c>
    </x:row>
    <x:row r="8">
      <x:c r="A8" s="71" t="str">
        <x:v>Plan diario</x:v>
      </x:c>
      <x:c r="B8" s="72" t="str">
        <x:v>C7</x:v>
      </x:c>
      <x:c r="C8" s="73" t="str">
        <x:v>=SI(DIASEM(A7;2)&lt;=5;$L$10;0)</x:v>
      </x:c>
      <x:c r="D8" s="72" t="str">
        <x:v>Asigna horas de lunes a viernes y cero en fin de semana.</x:v>
      </x:c>
      <x:c r="E8" s="72" t="str">
        <x:v>Fórmula</x:v>
      </x:c>
      <x:c r="F8" s="50" t="str">
        <x:v>Copiar hacia abajo.</x:v>
      </x:c>
      <x:c r="H8" s="30" t="str">
        <x:v>Día 1</x:v>
      </x:c>
      <x:c r="I8" s="31" t="n">
        <x:v>90</x:v>
      </x:c>
      <x:c r="J8" s="31" t="n">
        <x:v>0</x:v>
      </x:c>
      <x:c r="K8" s="31" t="n">
        <x:v>8</x:v>
      </x:c>
      <x:c r="L8" s="31" t="n">
        <x:v>82</x:v>
      </x:c>
      <x:c r="M8" s="32" t="str">
        <x:v>La línea baja 8 horas.</x:v>
      </x:c>
    </x:row>
    <x:row r="9">
      <x:c r="A9" s="71" t="str">
        <x:v>Plan acumulado</x:v>
      </x:c>
      <x:c r="B9" s="72" t="str">
        <x:v>F7</x:v>
      </x:c>
      <x:c r="C9" s="73" t="str">
        <x:v>=F6+C7</x:v>
      </x:c>
      <x:c r="D9" s="72" t="str">
        <x:v>Suma progresivamente las horas planificadas.</x:v>
      </x:c>
      <x:c r="E9" s="72" t="str">
        <x:v>Fórmula</x:v>
      </x:c>
      <x:c r="F9" s="50" t="str">
        <x:v>Genera 9, 18, 27, 36…</x:v>
      </x:c>
      <x:c r="H9" s="30" t="str">
        <x:v>Día 2</x:v>
      </x:c>
      <x:c r="I9" s="31" t="n">
        <x:v>82</x:v>
      </x:c>
      <x:c r="J9" s="31" t="n">
        <x:v>0</x:v>
      </x:c>
      <x:c r="K9" s="31" t="n">
        <x:v>10</x:v>
      </x:c>
      <x:c r="L9" s="31" t="n">
        <x:v>72</x:v>
      </x:c>
      <x:c r="M9" s="32" t="str">
        <x:v>La línea vuelve a bajar.</x:v>
      </x:c>
    </x:row>
    <x:row r="10">
      <x:c r="A10" s="71" t="str">
        <x:v>Real acumulado</x:v>
      </x:c>
      <x:c r="B10" s="72" t="str">
        <x:v>G7</x:v>
      </x:c>
      <x:c r="C10" s="73" t="str">
        <x:v>=SI(ESBLANCO(E7);"";G6+E7)</x:v>
      </x:c>
      <x:c r="D10" s="72" t="str">
        <x:v>Suma solo las horas reales ya registradas.</x:v>
      </x:c>
      <x:c r="E10" s="72" t="str">
        <x:v>Fórmula</x:v>
      </x:c>
      <x:c r="F10" s="50" t="str">
        <x:v>No proyecta fechas futuras.</x:v>
      </x:c>
      <x:c r="H10" s="30" t="str">
        <x:v>Día 3</x:v>
      </x:c>
      <x:c r="I10" s="31" t="n">
        <x:v>72</x:v>
      </x:c>
      <x:c r="J10" s="31" t="n">
        <x:v>10</x:v>
      </x:c>
      <x:c r="K10" s="31" t="n">
        <x:v>7</x:v>
      </x:c>
      <x:c r="L10" s="31" t="n">
        <x:v>75</x:v>
      </x:c>
      <x:c r="M10" s="32" t="str">
        <x:v>Sube 3 horas por reestimación.</x:v>
      </x:c>
    </x:row>
    <x:row r="11">
      <x:c r="A11" s="71" t="str">
        <x:v>Ideal restante</x:v>
      </x:c>
      <x:c r="B11" s="72" t="str">
        <x:v>H7</x:v>
      </x:c>
      <x:c r="C11" s="73" t="str">
        <x:v>=MAX(0;$L$12-F7)</x:v>
      </x:c>
      <x:c r="D11" s="72" t="str">
        <x:v>Resta el plan acumulado a la capacidad inicial.</x:v>
      </x:c>
      <x:c r="E11" s="72" t="str">
        <x:v>Fórmula</x:v>
      </x:c>
      <x:c r="F11" s="50" t="str">
        <x:v>Forma la línea ideal descendente.</x:v>
      </x:c>
      <x:c r="H11" s="30" t="str">
        <x:v>Día 4</x:v>
      </x:c>
      <x:c r="I11" s="31" t="n">
        <x:v>75</x:v>
      </x:c>
      <x:c r="J11" s="31" t="n">
        <x:v>0</x:v>
      </x:c>
      <x:c r="K11" s="31" t="n">
        <x:v>9</x:v>
      </x:c>
      <x:c r="L11" s="31" t="n">
        <x:v>66</x:v>
      </x:c>
      <x:c r="M11" s="32" t="str">
        <x:v>Desciende por el avance realizado.</x:v>
      </x:c>
    </x:row>
    <x:row r="12">
      <x:c r="A12" s="71" t="str">
        <x:v>Real restante</x:v>
      </x:c>
      <x:c r="B12" s="72" t="str">
        <x:v>I7</x:v>
      </x:c>
      <x:c r="C12" s="73" t="str">
        <x:v>=SI(ESBLANCO(E7);"";MAX(0;I6+D7-E7))</x:v>
      </x:c>
      <x:c r="D12" s="72" t="str">
        <x:v>Saldo anterior + trabajo agregado − trabajo completado.</x:v>
      </x:c>
      <x:c r="E12" s="72" t="str">
        <x:v>Fórmula</x:v>
      </x:c>
      <x:c r="F12" s="50" t="str">
        <x:v>Produce la curva real irregular.</x:v>
      </x:c>
      <x:c r="H12" s="33" t="str">
        <x:v>Día 5</x:v>
      </x:c>
      <x:c r="I12" s="34" t="n">
        <x:v>66</x:v>
      </x:c>
      <x:c r="J12" s="34" t="n">
        <x:v>0</x:v>
      </x:c>
      <x:c r="K12" s="34" t="n">
        <x:v>5</x:v>
      </x:c>
      <x:c r="L12" s="34" t="n">
        <x:v>61</x:v>
      </x:c>
      <x:c r="M12" s="35" t="str">
        <x:v>Corte parcial de la jornada actual.</x:v>
      </x:c>
    </x:row>
    <x:row r="13">
      <x:c r="A13" s="74" t="str">
        <x:v>Fecha siguiente</x:v>
      </x:c>
      <x:c r="B13" s="75" t="str">
        <x:v>A8</x:v>
      </x:c>
      <x:c r="C13" s="76" t="str">
        <x:v>=A7+1</x:v>
      </x:c>
      <x:c r="D13" s="75" t="str">
        <x:v>Avanza un día calendario.</x:v>
      </x:c>
      <x:c r="E13" s="75" t="str">
        <x:v>Fórmula</x:v>
      </x:c>
      <x:c r="F13" s="51" t="str">
        <x:v>Arrastrar hasta el término del sprint.</x:v>
      </x:c>
    </x:row>
    <x:row r="14">
      <x:c r="A14" s="77"/>
      <x:c r="B14" s="77"/>
      <x:c r="C14" s="77"/>
      <x:c r="D14" s="77"/>
      <x:c r="E14" s="77"/>
      <x:c r="F14" s="77"/>
      <x:c r="H14" s="67" t="str">
        <x:v>Regla de interpretación: el acumulado siempre aumenta. El trabajo restante normalmente disminuye, permanece estable cuando no existe avance y aumenta únicamente cuando se incorpora o reestima trabajo. Las subidas no deben inventarse para decorar el gráfico.</x:v>
      </x:c>
      <x:c r="I14" s="67"/>
      <x:c r="J14" s="67"/>
      <x:c r="K14" s="67"/>
      <x:c r="L14" s="67"/>
      <x:c r="M14" s="67"/>
    </x:row>
    <x:row r="15" ht="34" customHeight="1">
      <x:c r="A15" s="14" t="str">
        <x:v>Significado de cada columna</x:v>
      </x:c>
      <x:c r="B15" s="15"/>
      <x:c r="C15" s="15"/>
      <x:c r="D15" s="15"/>
      <x:c r="E15" s="15"/>
      <x:c r="F15" s="16"/>
      <x:c r="H15" s="67"/>
      <x:c r="I15" s="67"/>
      <x:c r="J15" s="67"/>
      <x:c r="K15" s="67"/>
      <x:c r="L15" s="67"/>
      <x:c r="M15" s="67"/>
    </x:row>
    <x:row r="16" ht="34" customHeight="1">
      <x:c r="A16" s="14" t="str">
        <x:v>Columna</x:v>
      </x:c>
      <x:c r="B16" s="15" t="str">
        <x:v>Nombre</x:v>
      </x:c>
      <x:c r="C16" s="15" t="str">
        <x:v>Se completa manualmente</x:v>
      </x:c>
      <x:c r="D16" s="15" t="str">
        <x:v>Puede subir</x:v>
      </x:c>
      <x:c r="E16" s="15" t="str">
        <x:v>Puede bajar</x:v>
      </x:c>
      <x:c r="F16" s="16" t="str">
        <x:v>Interpretación</x:v>
      </x:c>
      <x:c r="H16" s="67"/>
      <x:c r="I16" s="67"/>
      <x:c r="J16" s="67"/>
      <x:c r="K16" s="67"/>
      <x:c r="L16" s="67"/>
      <x:c r="M16" s="67"/>
    </x:row>
    <x:row r="17">
      <x:c r="A17" s="68" t="str">
        <x:v>A</x:v>
      </x:c>
      <x:c r="B17" s="69" t="str">
        <x:v>Fecha</x:v>
      </x:c>
      <x:c r="C17" s="69" t="str">
        <x:v>Sí</x:v>
      </x:c>
      <x:c r="D17" s="69" t="str">
        <x:v>—</x:v>
      </x:c>
      <x:c r="E17" s="69" t="str">
        <x:v>—</x:v>
      </x:c>
      <x:c r="F17" s="49" t="str">
        <x:v>Día calendario del sprint.</x:v>
      </x:c>
      <x:c r="H17" s="67"/>
      <x:c r="I17" s="67"/>
      <x:c r="J17" s="67"/>
      <x:c r="K17" s="67"/>
      <x:c r="L17" s="67"/>
      <x:c r="M17" s="67"/>
    </x:row>
    <x:row r="18">
      <x:c r="A18" s="71" t="str">
        <x:v>C</x:v>
      </x:c>
      <x:c r="B18" s="72" t="str">
        <x:v>Plan diario</x:v>
      </x:c>
      <x:c r="C18" s="72" t="str">
        <x:v>No</x:v>
      </x:c>
      <x:c r="D18" s="72" t="str">
        <x:v>Sí</x:v>
      </x:c>
      <x:c r="E18" s="72" t="str">
        <x:v>Sí</x:v>
      </x:c>
      <x:c r="F18" s="50" t="str">
        <x:v>Nueve horas en días hábiles; cero en fines de semana.</x:v>
      </x:c>
      <x:c r="H18" s="67"/>
      <x:c r="I18" s="67"/>
      <x:c r="J18" s="67"/>
      <x:c r="K18" s="67"/>
      <x:c r="L18" s="67"/>
      <x:c r="M18" s="67"/>
    </x:row>
    <x:row r="19">
      <x:c r="A19" s="71" t="str">
        <x:v>D</x:v>
      </x:c>
      <x:c r="B19" s="72" t="str">
        <x:v>Trabajo agregado</x:v>
      </x:c>
      <x:c r="C19" s="72" t="str">
        <x:v>Sí</x:v>
      </x:c>
      <x:c r="D19" s="72" t="str">
        <x:v>Sí</x:v>
      </x:c>
      <x:c r="E19" s="72" t="str">
        <x:v>No</x:v>
      </x:c>
      <x:c r="F19" s="50" t="str">
        <x:v>Horas nuevas por cambio, corrección o reestimación.</x:v>
      </x:c>
    </x:row>
    <x:row r="20">
      <x:c r="A20" s="71" t="str">
        <x:v>E</x:v>
      </x:c>
      <x:c r="B20" s="72" t="str">
        <x:v>Trabajo real completado</x:v>
      </x:c>
      <x:c r="C20" s="72" t="str">
        <x:v>Sí</x:v>
      </x:c>
      <x:c r="D20" s="72" t="str">
        <x:v>Sí</x:v>
      </x:c>
      <x:c r="E20" s="72" t="str">
        <x:v>No</x:v>
      </x:c>
      <x:c r="F20" s="50" t="str">
        <x:v>Horas efectivamente terminadas durante el día.</x:v>
      </x:c>
    </x:row>
    <x:row r="21">
      <x:c r="A21" s="71" t="str">
        <x:v>F</x:v>
      </x:c>
      <x:c r="B21" s="72" t="str">
        <x:v>Plan acumulado</x:v>
      </x:c>
      <x:c r="C21" s="72" t="str">
        <x:v>No</x:v>
      </x:c>
      <x:c r="D21" s="72" t="str">
        <x:v>Sí</x:v>
      </x:c>
      <x:c r="E21" s="72" t="str">
        <x:v>No</x:v>
      </x:c>
      <x:c r="F21" s="50" t="str">
        <x:v>Aumenta 9, 18, 27… según las jornadas.</x:v>
      </x:c>
    </x:row>
    <x:row r="22">
      <x:c r="A22" s="71" t="str">
        <x:v>G</x:v>
      </x:c>
      <x:c r="B22" s="72" t="str">
        <x:v>Real acumulado</x:v>
      </x:c>
      <x:c r="C22" s="72" t="str">
        <x:v>No</x:v>
      </x:c>
      <x:c r="D22" s="72" t="str">
        <x:v>Sí</x:v>
      </x:c>
      <x:c r="E22" s="72" t="str">
        <x:v>No</x:v>
      </x:c>
      <x:c r="F22" s="50" t="str">
        <x:v>Aumenta según las horas reales registradas.</x:v>
      </x:c>
    </x:row>
    <x:row r="23">
      <x:c r="A23" s="71" t="str">
        <x:v>H</x:v>
      </x:c>
      <x:c r="B23" s="72" t="str">
        <x:v>Ideal restante</x:v>
      </x:c>
      <x:c r="C23" s="72" t="str">
        <x:v>No</x:v>
      </x:c>
      <x:c r="D23" s="72" t="str">
        <x:v>No</x:v>
      </x:c>
      <x:c r="E23" s="72" t="str">
        <x:v>Sí</x:v>
      </x:c>
      <x:c r="F23" s="50" t="str">
        <x:v>Descenso esperado hasta cero.</x:v>
      </x:c>
    </x:row>
    <x:row r="24">
      <x:c r="A24" s="74" t="str">
        <x:v>I</x:v>
      </x:c>
      <x:c r="B24" s="75" t="str">
        <x:v>Real restante</x:v>
      </x:c>
      <x:c r="C24" s="75" t="str">
        <x:v>No</x:v>
      </x:c>
      <x:c r="D24" s="75" t="str">
        <x:v>Sí</x:v>
      </x:c>
      <x:c r="E24" s="75" t="str">
        <x:v>Sí</x:v>
      </x:c>
      <x:c r="F24" s="51" t="str">
        <x:v>Baja con avance y sube cuando se agrega trabajo.</x:v>
      </x:c>
    </x:row>
    <x:row r="25">
      <x:c r="A25" s="77"/>
      <x:c r="B25" s="77"/>
      <x:c r="C25" s="77"/>
      <x:c r="D25" s="77"/>
      <x:c r="E25" s="77"/>
      <x:c r="F25" s="77"/>
    </x:row>
    <x:row r="26" ht="34" customHeight="1">
      <x:c r="A26" s="14" t="str">
        <x:v>Cómo crear el gráfico</x:v>
      </x:c>
      <x:c r="B26" s="15"/>
      <x:c r="C26" s="15"/>
      <x:c r="D26" s="15"/>
      <x:c r="E26" s="15"/>
      <x:c r="F26" s="16"/>
    </x:row>
    <x:row r="27" ht="34" customHeight="1">
      <x:c r="A27" s="14" t="str">
        <x:v>Paso</x:v>
      </x:c>
      <x:c r="B27" s="15" t="str">
        <x:v>Acción</x:v>
      </x:c>
      <x:c r="C27" s="15" t="str">
        <x:v>Detalle</x:v>
      </x:c>
      <x:c r="D27" s="15" t="str"/>
      <x:c r="E27" s="15" t="str"/>
      <x:c r="F27" s="16" t="str"/>
    </x:row>
    <x:row r="28">
      <x:c r="A28" s="68" t="n">
        <x:v>1</x:v>
      </x:c>
      <x:c r="B28" s="69" t="str">
        <x:v>Seleccionar datos</x:v>
      </x:c>
      <x:c r="C28" s="69" t="str">
        <x:v>Seleccione Fecha, Ideal restante y Real restante.</x:v>
      </x:c>
      <x:c r="D28" s="69" t="str"/>
      <x:c r="E28" s="69" t="str"/>
      <x:c r="F28" s="49" t="str"/>
    </x:row>
    <x:row r="29">
      <x:c r="A29" s="71" t="n">
        <x:v>2</x:v>
      </x:c>
      <x:c r="B29" s="72" t="str">
        <x:v>Insertar gráfico</x:v>
      </x:c>
      <x:c r="C29" s="72" t="str">
        <x:v>Insertar &gt; Gráfico de líneas &gt; Línea con marcadores.</x:v>
      </x:c>
      <x:c r="D29" s="72" t="str"/>
      <x:c r="E29" s="72" t="str"/>
      <x:c r="F29" s="50" t="str"/>
    </x:row>
    <x:row r="30">
      <x:c r="A30" s="71" t="n">
        <x:v>3</x:v>
      </x:c>
      <x:c r="B30" s="72" t="str">
        <x:v>Configurar línea ideal</x:v>
      </x:c>
      <x:c r="C30" s="72" t="str">
        <x:v>Color gris, línea segmentada y grosor aproximado de 2 pt.</x:v>
      </x:c>
      <x:c r="D30" s="72" t="str"/>
      <x:c r="E30" s="72" t="str"/>
      <x:c r="F30" s="50" t="str"/>
    </x:row>
    <x:row r="31">
      <x:c r="A31" s="71" t="n">
        <x:v>4</x:v>
      </x:c>
      <x:c r="B31" s="72" t="str">
        <x:v>Configurar línea real</x:v>
      </x:c>
      <x:c r="C31" s="72" t="str">
        <x:v>Color azul, línea sólida, marcadores y grosor aproximado de 3 pt.</x:v>
      </x:c>
      <x:c r="D31" s="72" t="str"/>
      <x:c r="E31" s="72" t="str"/>
      <x:c r="F31" s="50" t="str"/>
    </x:row>
    <x:row r="32">
      <x:c r="A32" s="71" t="n">
        <x:v>5</x:v>
      </x:c>
      <x:c r="B32" s="72" t="str">
        <x:v>Configurar eje vertical</x:v>
      </x:c>
      <x:c r="C32" s="72" t="str">
        <x:v>Mínimo 0; máximo igual o levemente superior a la capacidad inicial.</x:v>
      </x:c>
      <x:c r="D32" s="72" t="str"/>
      <x:c r="E32" s="72" t="str"/>
      <x:c r="F32" s="50" t="str"/>
    </x:row>
    <x:row r="33">
      <x:c r="A33" s="71" t="n">
        <x:v>6</x:v>
      </x:c>
      <x:c r="B33" s="72" t="str">
        <x:v>Configurar eje horizontal</x:v>
      </x:c>
      <x:c r="C33" s="72" t="str">
        <x:v>Usar las fechas del sprint en orden cronológico.</x:v>
      </x:c>
      <x:c r="D33" s="72" t="str"/>
      <x:c r="E33" s="72" t="str"/>
      <x:c r="F33" s="50" t="str"/>
    </x:row>
    <x:row r="34">
      <x:c r="A34" s="74" t="n">
        <x:v>7</x:v>
      </x:c>
      <x:c r="B34" s="75" t="str">
        <x:v>Evitar proyección futura</x:v>
      </x:c>
      <x:c r="C34" s="75" t="str">
        <x:v>Dejar en blanco las horas reales de fechas que todavía no ocurren.</x:v>
      </x:c>
      <x:c r="D34" s="75" t="str"/>
      <x:c r="E34" s="75" t="str"/>
      <x:c r="F34" s="51" t="str"/>
    </x:row>
  </x:sheetData>
  <x:mergeCells>
    <x:mergeCell ref="A2:M2"/>
    <x:mergeCell ref="A3:M3"/>
    <x:mergeCell ref="A15:F15"/>
    <x:mergeCell ref="A26:F26"/>
    <x:mergeCell ref="H5:M5"/>
    <x:mergeCell ref="H14:M18"/>
  </x:mergeCells>
  <x:pageMargins left="0.7" right="0.7" top="0.75" bottom="0.75" header="0.3" footer="0.3"/>
</x:worksheet>
</file>